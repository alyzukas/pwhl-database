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- EJ" sheetId="1" r:id="rId5"/>
    <sheet state="visible" name="Seasons - EJ" sheetId="2" r:id="rId6"/>
    <sheet state="visible" name="Teams - EJ" sheetId="3" r:id="rId7"/>
    <sheet state="visible" name="Players - AZ" sheetId="4" r:id="rId8"/>
    <sheet state="hidden" name="Copy of Players - AZ" sheetId="5" r:id="rId9"/>
    <sheet state="visible" name="Shots - AZ" sheetId="6" r:id="rId10"/>
    <sheet state="visible" name="Goals - Njenga" sheetId="7" r:id="rId11"/>
    <sheet state="hidden" name="Copy of Shots - AZ" sheetId="8" r:id="rId12"/>
    <sheet state="visible" name="Assists - Brisa" sheetId="9" r:id="rId13"/>
    <sheet state="visible" name="Penalties - AZ" sheetId="10" r:id="rId14"/>
    <sheet state="hidden" name="Copy of PlayerTeamSeason - Njen" sheetId="11" r:id="rId15"/>
    <sheet state="visible" name="Tenure - Njenga" sheetId="12" r:id="rId16"/>
    <sheet state="visible" name="Games - Njenga" sheetId="13" r:id="rId17"/>
    <sheet state="visible" name="Periods - Brisa" sheetId="14" r:id="rId18"/>
    <sheet state="visible" name="ARCHIVE_Info" sheetId="15" r:id="rId19"/>
    <sheet state="hidden" name="ARCHIVE_Events" sheetId="16" r:id="rId20"/>
  </sheets>
  <definedNames>
    <definedName hidden="1" localSheetId="4" name="_xlnm._FilterDatabase">'Copy of Players - AZ'!$B$1:$I$79</definedName>
    <definedName hidden="1" localSheetId="7" name="_xlnm._FilterDatabase">'Copy of Shots - AZ'!$A$3:$K$212</definedName>
    <definedName hidden="1" localSheetId="10" name="_xlnm._FilterDatabase">'Copy of PlayerTeamSeason - Njen'!$A$2:$E$80</definedName>
  </definedNames>
  <calcPr/>
</workbook>
</file>

<file path=xl/sharedStrings.xml><?xml version="1.0" encoding="utf-8"?>
<sst xmlns="http://schemas.openxmlformats.org/spreadsheetml/2006/main" count="1830" uniqueCount="453">
  <si>
    <t>location_key</t>
  </si>
  <si>
    <t>name</t>
  </si>
  <si>
    <t>address</t>
  </si>
  <si>
    <t>seat_capacity</t>
  </si>
  <si>
    <t>date_opened</t>
  </si>
  <si>
    <t>Tsongas Center</t>
  </si>
  <si>
    <t>300 Martin Luther King Jr. Way, Lowell, MA 01852, USA</t>
  </si>
  <si>
    <t>1998-01-27</t>
  </si>
  <si>
    <t>Xcel Energy Center</t>
  </si>
  <si>
    <t>199 W Kellogg Blvd, St Paul, MN 55102, USA</t>
  </si>
  <si>
    <t>2000-09-01</t>
  </si>
  <si>
    <t>Place Bell</t>
  </si>
  <si>
    <t>1950 Rue Claude-Gagné, Laval, Quebec H7N 0E4</t>
  </si>
  <si>
    <t>2017-08-31</t>
  </si>
  <si>
    <t>Prudential Center</t>
  </si>
  <si>
    <t>25 Lafayette St, Newark, NJ 07102, USA</t>
  </si>
  <si>
    <t>2007-10-25</t>
  </si>
  <si>
    <t>TD Place Arena</t>
  </si>
  <si>
    <t>1015 Bank St, Ottawa, ON K1S 3W7, Canada</t>
  </si>
  <si>
    <t>1967-12-29</t>
  </si>
  <si>
    <t>Coca-Cola Coliseum</t>
  </si>
  <si>
    <t>19 Nunavut Rd, Toronto, ON M6K 3C3, Canada</t>
  </si>
  <si>
    <t>1921-12-10</t>
  </si>
  <si>
    <t>Climate Pledge Arena</t>
  </si>
  <si>
    <t>334 1st Ave N, Seattle, WA 98109, USA</t>
  </si>
  <si>
    <t>1968-01-08</t>
  </si>
  <si>
    <t>Pacific Coliseum</t>
  </si>
  <si>
    <t>100 North Renfrew St, Vancouver, BC V5K 3N9, Canada</t>
  </si>
  <si>
    <t>2021-10-15</t>
  </si>
  <si>
    <t>season_key</t>
  </si>
  <si>
    <t>season_name</t>
  </si>
  <si>
    <t>shortname</t>
  </si>
  <si>
    <t>career</t>
  </si>
  <si>
    <t>playoff</t>
  </si>
  <si>
    <t>start_date</t>
  </si>
  <si>
    <t>end_date</t>
  </si>
  <si>
    <t>2025-26 Regular Season</t>
  </si>
  <si>
    <t>2025-26 Reg</t>
  </si>
  <si>
    <t>2025-11-21</t>
  </si>
  <si>
    <t>2026-04-27</t>
  </si>
  <si>
    <t>2025-26 Preseason</t>
  </si>
  <si>
    <t>2025-06-01</t>
  </si>
  <si>
    <t>2025-11-19</t>
  </si>
  <si>
    <t>2025 Playoffs</t>
  </si>
  <si>
    <t>2025-05-06</t>
  </si>
  <si>
    <t>2025-06-03</t>
  </si>
  <si>
    <t>2024-25 Regular Season</t>
  </si>
  <si>
    <t>2024-25 Reg</t>
  </si>
  <si>
    <t>2024-11-25</t>
  </si>
  <si>
    <t>2025-05-05</t>
  </si>
  <si>
    <t>2024-25 Preseason</t>
  </si>
  <si>
    <t>2024-11-01</t>
  </si>
  <si>
    <t>2024-11-29</t>
  </si>
  <si>
    <t>team_key</t>
  </si>
  <si>
    <t>nickname</t>
  </si>
  <si>
    <t>team_code</t>
  </si>
  <si>
    <t>division_id</t>
  </si>
  <si>
    <t>date_founded</t>
  </si>
  <si>
    <t>Boston Fleet</t>
  </si>
  <si>
    <t>Fleet</t>
  </si>
  <si>
    <t>BOS</t>
  </si>
  <si>
    <t>Minnesota Frost</t>
  </si>
  <si>
    <t>Frost</t>
  </si>
  <si>
    <t>MIN</t>
  </si>
  <si>
    <t>Montréal Victoire</t>
  </si>
  <si>
    <t>Victoire</t>
  </si>
  <si>
    <t>MTL</t>
  </si>
  <si>
    <t>New York Sirens</t>
  </si>
  <si>
    <t>Sirens</t>
  </si>
  <si>
    <t>NY</t>
  </si>
  <si>
    <t>Ottawa Charge</t>
  </si>
  <si>
    <t>Charge</t>
  </si>
  <si>
    <t>OTT</t>
  </si>
  <si>
    <t>Seattle Torrent</t>
  </si>
  <si>
    <t>Torrent</t>
  </si>
  <si>
    <t>SEA</t>
  </si>
  <si>
    <t>Toronto Sceptres</t>
  </si>
  <si>
    <t>Sceptres</t>
  </si>
  <si>
    <t>TOR</t>
  </si>
  <si>
    <t>Vancouver Goldeneyes</t>
  </si>
  <si>
    <t>Goldeneyes</t>
  </si>
  <si>
    <t>VAN</t>
  </si>
  <si>
    <t>PK</t>
  </si>
  <si>
    <t>we need all these players or we'll have null references, this maps to everyone who takes a shot/blocks a shot / is a goalie / took a penalty for the selected shots/goals/penalties</t>
  </si>
  <si>
    <t>player_key</t>
  </si>
  <si>
    <t>hometown</t>
  </si>
  <si>
    <t>birthdate</t>
  </si>
  <si>
    <t>shoots</t>
  </si>
  <si>
    <t>catches</t>
  </si>
  <si>
    <t>Halifax, NS</t>
  </si>
  <si>
    <t>Jill Saulnier</t>
  </si>
  <si>
    <t>L</t>
  </si>
  <si>
    <t>Turku, FIN</t>
  </si>
  <si>
    <t>Susanna Tapani</t>
  </si>
  <si>
    <t>Farmington, MI</t>
  </si>
  <si>
    <t>Megan Keller</t>
  </si>
  <si>
    <t>Rochester, NY</t>
  </si>
  <si>
    <t>Haley Winn</t>
  </si>
  <si>
    <t>R</t>
  </si>
  <si>
    <t>Chappaqua, NY</t>
  </si>
  <si>
    <t>Aerin Frankel</t>
  </si>
  <si>
    <t>Toronto, ON</t>
  </si>
  <si>
    <t>Daryl Watts</t>
  </si>
  <si>
    <t>Alpena, MI</t>
  </si>
  <si>
    <t>Emma Gentry</t>
  </si>
  <si>
    <t>Stellarton, NS</t>
  </si>
  <si>
    <t>Blayre Turnbull</t>
  </si>
  <si>
    <t xml:space="preserve"> </t>
  </si>
  <si>
    <t>Ingersoll, ON</t>
  </si>
  <si>
    <t>Ella Shelton</t>
  </si>
  <si>
    <t>Ste. Anne, MB</t>
  </si>
  <si>
    <t>Raygan Kirk</t>
  </si>
  <si>
    <t>Barrie, ON</t>
  </si>
  <si>
    <t>Jessie Eldridge</t>
  </si>
  <si>
    <t>Brampton, ON</t>
  </si>
  <si>
    <t>Mikyla Grant-Mentis</t>
  </si>
  <si>
    <t>Coppell, TX</t>
  </si>
  <si>
    <t>Hannah Bilka</t>
  </si>
  <si>
    <t>Sun Valley, ID</t>
  </si>
  <si>
    <t>Hilary Knight</t>
  </si>
  <si>
    <t>North Reading, MA</t>
  </si>
  <si>
    <t>Alex Carpenter</t>
  </si>
  <si>
    <t>St. Thomas, ON</t>
  </si>
  <si>
    <t>Lexie Adzija</t>
  </si>
  <si>
    <t>Menomonie, WI</t>
  </si>
  <si>
    <t>Mariah Keopple</t>
  </si>
  <si>
    <t>Aurora, IL</t>
  </si>
  <si>
    <t>Lyndie Lobdell</t>
  </si>
  <si>
    <t>Elm Creek, MB</t>
  </si>
  <si>
    <t>Corinne Schroeder</t>
  </si>
  <si>
    <t>Caledon East, ON</t>
  </si>
  <si>
    <t>Zoe Boyd</t>
  </si>
  <si>
    <t>Teplice, CZE</t>
  </si>
  <si>
    <t>Daniela Pejšová</t>
  </si>
  <si>
    <t>Okemos, MI</t>
  </si>
  <si>
    <t>Clara Van Wieren</t>
  </si>
  <si>
    <t>Yarmouth, NS</t>
  </si>
  <si>
    <t>Allie Munroe</t>
  </si>
  <si>
    <t>London, ON</t>
  </si>
  <si>
    <t>Julia Gosling</t>
  </si>
  <si>
    <t>Prague, CZE</t>
  </si>
  <si>
    <t>Aneta Tejralová</t>
  </si>
  <si>
    <t>Winterthur, SWI</t>
  </si>
  <si>
    <t>Alina Müller</t>
  </si>
  <si>
    <t>St John's, NL</t>
  </si>
  <si>
    <t>Abby Newhook</t>
  </si>
  <si>
    <t>Burlington, ON</t>
  </si>
  <si>
    <t>Emma Maltais</t>
  </si>
  <si>
    <t>Claire Dalton</t>
  </si>
  <si>
    <t>Burlington, MA</t>
  </si>
  <si>
    <t>Kali Flanagan</t>
  </si>
  <si>
    <t>Downers Grove, IL</t>
  </si>
  <si>
    <t>Savannah Harmon</t>
  </si>
  <si>
    <t>Linden, CA</t>
  </si>
  <si>
    <t>Brooke Bryant</t>
  </si>
  <si>
    <t>Blaine, MN</t>
  </si>
  <si>
    <t>Emily Brown</t>
  </si>
  <si>
    <t>Eastvale, CA</t>
  </si>
  <si>
    <t>Cayla Barnes</t>
  </si>
  <si>
    <t>Scarborough, ON</t>
  </si>
  <si>
    <t>Natalie Spooner</t>
  </si>
  <si>
    <t>Port Moody, BC</t>
  </si>
  <si>
    <t>Jenna Buglioni</t>
  </si>
  <si>
    <t>Hudson, WI</t>
  </si>
  <si>
    <t>Anna Wilgren</t>
  </si>
  <si>
    <t>Amherst, NS</t>
  </si>
  <si>
    <t>Carly Jackson</t>
  </si>
  <si>
    <t>Millarville, AB</t>
  </si>
  <si>
    <t>Malia Schneider</t>
  </si>
  <si>
    <t>North Vancouver, BC</t>
  </si>
  <si>
    <t>Hannah Miller</t>
  </si>
  <si>
    <t>Brandon, MB</t>
  </si>
  <si>
    <t>Kristen Campbell</t>
  </si>
  <si>
    <t>tp_jersey_number</t>
  </si>
  <si>
    <t>position</t>
  </si>
  <si>
    <t>Saskatoon, SK</t>
  </si>
  <si>
    <t>RW</t>
  </si>
  <si>
    <t>Sophie Shirley</t>
  </si>
  <si>
    <t>C</t>
  </si>
  <si>
    <t>Mound, MN</t>
  </si>
  <si>
    <t>Liz Schepers</t>
  </si>
  <si>
    <t>St. Louis Park, MN</t>
  </si>
  <si>
    <t>Olivia Mobley</t>
  </si>
  <si>
    <t>Weiz, AUT</t>
  </si>
  <si>
    <t>LW</t>
  </si>
  <si>
    <t>Theresa Schafzahl</t>
  </si>
  <si>
    <t>Vadnais Heights, MN</t>
  </si>
  <si>
    <t>Hannah Brandt</t>
  </si>
  <si>
    <t>Berlin, GER</t>
  </si>
  <si>
    <t>Laura Kluge</t>
  </si>
  <si>
    <t>Northfield, IL</t>
  </si>
  <si>
    <t>Ella Huber</t>
  </si>
  <si>
    <t>McHenry, IL</t>
  </si>
  <si>
    <t>Shay Maloney</t>
  </si>
  <si>
    <t>Kitchener, ON</t>
  </si>
  <si>
    <t>Loren Gabel</t>
  </si>
  <si>
    <t>Kanata, ON</t>
  </si>
  <si>
    <t>Jamie Lee Rattray</t>
  </si>
  <si>
    <t>LD</t>
  </si>
  <si>
    <t>Phoenixville, PA</t>
  </si>
  <si>
    <t>RD</t>
  </si>
  <si>
    <t>Hadley Hartmetz</t>
  </si>
  <si>
    <t>Cambridge, MA</t>
  </si>
  <si>
    <t>Mia Biotti</t>
  </si>
  <si>
    <t>China Township, MI</t>
  </si>
  <si>
    <t>Riley Brengman</t>
  </si>
  <si>
    <t>Cranbrook, BC</t>
  </si>
  <si>
    <t>Rylind MacKinnon</t>
  </si>
  <si>
    <t>Niagara Falls, NY</t>
  </si>
  <si>
    <t>Olivia Zafuto</t>
  </si>
  <si>
    <t>Milford, MI</t>
  </si>
  <si>
    <t>G</t>
  </si>
  <si>
    <t>Amanda Thiele</t>
  </si>
  <si>
    <t>Congers, NY</t>
  </si>
  <si>
    <t>Abbey Levy</t>
  </si>
  <si>
    <t>Anchorage, AK</t>
  </si>
  <si>
    <t>F</t>
  </si>
  <si>
    <t>Clair DeGeorge</t>
  </si>
  <si>
    <t>Fairport, NY</t>
  </si>
  <si>
    <t>Kiara Zanon</t>
  </si>
  <si>
    <t>Lauren Messier</t>
  </si>
  <si>
    <t>Northbrook, IL</t>
  </si>
  <si>
    <t>Jesse Compher</t>
  </si>
  <si>
    <t>Bankeryd, SWE</t>
  </si>
  <si>
    <t>Sara Hjalmarsson</t>
  </si>
  <si>
    <t>Kristin Della Rovere</t>
  </si>
  <si>
    <t>St. John's, NL</t>
  </si>
  <si>
    <t>Maggie Connors</t>
  </si>
  <si>
    <t>Burford, ON</t>
  </si>
  <si>
    <t>Emma Woods</t>
  </si>
  <si>
    <t>Calgary, AB</t>
  </si>
  <si>
    <t>D</t>
  </si>
  <si>
    <t>Jessica Kondas</t>
  </si>
  <si>
    <t>Minnetonka, MN</t>
  </si>
  <si>
    <t>Hanna Baskin</t>
  </si>
  <si>
    <t>Renata Fast</t>
  </si>
  <si>
    <t>Göteberg, SWE</t>
  </si>
  <si>
    <t>Anna Kjellbin</t>
  </si>
  <si>
    <t>Waterford, ON</t>
  </si>
  <si>
    <t>Elaine Chuli</t>
  </si>
  <si>
    <t>Chatham, ON</t>
  </si>
  <si>
    <t>Jessie McPherson</t>
  </si>
  <si>
    <t>Edina, MN</t>
  </si>
  <si>
    <t>Lily Delianedis</t>
  </si>
  <si>
    <t>Eagan, MN</t>
  </si>
  <si>
    <t>Natalie Snodgrass</t>
  </si>
  <si>
    <t>Buffalo, MN</t>
  </si>
  <si>
    <t>Jada Habisch</t>
  </si>
  <si>
    <t>Seattle, WA</t>
  </si>
  <si>
    <t>Marah Wagner</t>
  </si>
  <si>
    <t>Eden Prairie, MN</t>
  </si>
  <si>
    <t>Sydney Langseth</t>
  </si>
  <si>
    <t>Edmonton, AB</t>
  </si>
  <si>
    <t>Danielle Serdachny</t>
  </si>
  <si>
    <t>Excelsior, MN</t>
  </si>
  <si>
    <t>Emily Zumwinkle</t>
  </si>
  <si>
    <t>Milton, ON</t>
  </si>
  <si>
    <t>Megan Carter</t>
  </si>
  <si>
    <t>Kingston, ON</t>
  </si>
  <si>
    <t>Hannah Murphy</t>
  </si>
  <si>
    <t>FK</t>
  </si>
  <si>
    <t>shot_key</t>
  </si>
  <si>
    <t>time</t>
  </si>
  <si>
    <t>shooter_key</t>
  </si>
  <si>
    <t>game_key</t>
  </si>
  <si>
    <t>goalie_key</t>
  </si>
  <si>
    <t>blocker_key</t>
  </si>
  <si>
    <t>is_goal</t>
  </si>
  <si>
    <t>shot_quality</t>
  </si>
  <si>
    <t>shot_type</t>
  </si>
  <si>
    <t>xLocation</t>
  </si>
  <si>
    <t>yLocation</t>
  </si>
  <si>
    <t>25916</t>
  </si>
  <si>
    <t>Non quality blocked</t>
  </si>
  <si>
    <t>Default</t>
  </si>
  <si>
    <t>25936</t>
  </si>
  <si>
    <t>Non quality goal</t>
  </si>
  <si>
    <t>Slap</t>
  </si>
  <si>
    <t>25941</t>
  </si>
  <si>
    <t>25943</t>
  </si>
  <si>
    <t>25975</t>
  </si>
  <si>
    <t>2614</t>
  </si>
  <si>
    <t>Quality goal</t>
  </si>
  <si>
    <t>Wrist</t>
  </si>
  <si>
    <t>26147</t>
  </si>
  <si>
    <t>26151</t>
  </si>
  <si>
    <t>Backhand</t>
  </si>
  <si>
    <t>26155</t>
  </si>
  <si>
    <t>Quality on net</t>
  </si>
  <si>
    <t>26157</t>
  </si>
  <si>
    <t>Tip</t>
  </si>
  <si>
    <t>261109</t>
  </si>
  <si>
    <t>261203</t>
  </si>
  <si>
    <t>26188</t>
  </si>
  <si>
    <t>261160</t>
  </si>
  <si>
    <t>261172</t>
  </si>
  <si>
    <t>33533</t>
  </si>
  <si>
    <t>33536</t>
  </si>
  <si>
    <t>335169</t>
  </si>
  <si>
    <t>goal_key</t>
  </si>
  <si>
    <t>is_power_play</t>
  </si>
  <si>
    <t>is_short_handed</t>
  </si>
  <si>
    <t>is_empty_net</t>
  </si>
  <si>
    <t>is_penalty_shot</t>
  </si>
  <si>
    <t>is_insurance_goal</t>
  </si>
  <si>
    <t>is_game_winning_goal</t>
  </si>
  <si>
    <t>game_id</t>
  </si>
  <si>
    <t>25937</t>
  </si>
  <si>
    <t>2615</t>
  </si>
  <si>
    <t>26117</t>
  </si>
  <si>
    <t>26148</t>
  </si>
  <si>
    <t>26158</t>
  </si>
  <si>
    <t>261204</t>
  </si>
  <si>
    <t>25976</t>
  </si>
  <si>
    <t>26189</t>
  </si>
  <si>
    <t>261110</t>
  </si>
  <si>
    <t>261161</t>
  </si>
  <si>
    <t>261173</t>
  </si>
  <si>
    <t>33534</t>
  </si>
  <si>
    <t>33537</t>
  </si>
  <si>
    <t>335170</t>
  </si>
  <si>
    <t>shooter_id</t>
  </si>
  <si>
    <t>goalie_id</t>
  </si>
  <si>
    <t>blocker_id</t>
  </si>
  <si>
    <t>None</t>
  </si>
  <si>
    <t>Non quality on net</t>
  </si>
  <si>
    <t>Quality blocked</t>
  </si>
  <si>
    <t>Snap</t>
  </si>
  <si>
    <t>pk</t>
  </si>
  <si>
    <t>fk</t>
  </si>
  <si>
    <t>assist_key</t>
  </si>
  <si>
    <t>assist_number</t>
  </si>
  <si>
    <t>259371</t>
  </si>
  <si>
    <t>259372</t>
  </si>
  <si>
    <t>259761</t>
  </si>
  <si>
    <t>259762</t>
  </si>
  <si>
    <t>26152</t>
  </si>
  <si>
    <t>261171</t>
  </si>
  <si>
    <t>261481</t>
  </si>
  <si>
    <t>261482</t>
  </si>
  <si>
    <t>261581</t>
  </si>
  <si>
    <t>261891</t>
  </si>
  <si>
    <t>261892</t>
  </si>
  <si>
    <t>2611101</t>
  </si>
  <si>
    <t>2611102</t>
  </si>
  <si>
    <t>2611611</t>
  </si>
  <si>
    <t>2611612</t>
  </si>
  <si>
    <t>2611731</t>
  </si>
  <si>
    <t>2611732</t>
  </si>
  <si>
    <t>2612041</t>
  </si>
  <si>
    <t>2612042</t>
  </si>
  <si>
    <t>335371</t>
  </si>
  <si>
    <t>3351701</t>
  </si>
  <si>
    <t>penalty_key</t>
  </si>
  <si>
    <t>minutes</t>
  </si>
  <si>
    <t>description</t>
  </si>
  <si>
    <t>Illegal Body Checking</t>
  </si>
  <si>
    <t>2-Minute-Hit to the head</t>
  </si>
  <si>
    <t>Slashing</t>
  </si>
  <si>
    <t>Interference</t>
  </si>
  <si>
    <t>Tripping</t>
  </si>
  <si>
    <t>0000-01-01 00:28:46.000</t>
  </si>
  <si>
    <t>Delay of Game</t>
  </si>
  <si>
    <t>0000-01-01 00:35:21.000</t>
  </si>
  <si>
    <t>High Sticking</t>
  </si>
  <si>
    <t>0000-01-01 00:41:45.000</t>
  </si>
  <si>
    <t>Hooking</t>
  </si>
  <si>
    <t>0000-01-01 00:43:41.000</t>
  </si>
  <si>
    <t>Roughing</t>
  </si>
  <si>
    <t>Cross Checking</t>
  </si>
  <si>
    <t>0000-01-01 00:50:13.000</t>
  </si>
  <si>
    <t>Holding</t>
  </si>
  <si>
    <t>0000-01-01 00:58:35.000</t>
  </si>
  <si>
    <t>0000-01-01 00:57:12.000</t>
  </si>
  <si>
    <t>PlayerTeamSeason_key</t>
  </si>
  <si>
    <t>player_id</t>
  </si>
  <si>
    <t>team_id</t>
  </si>
  <si>
    <t>season_id</t>
  </si>
  <si>
    <t>captain</t>
  </si>
  <si>
    <t>Alternate</t>
  </si>
  <si>
    <t>Captain</t>
  </si>
  <si>
    <t>jersey_number</t>
  </si>
  <si>
    <t>date</t>
  </si>
  <si>
    <t>gameNumber</t>
  </si>
  <si>
    <t>attendance</t>
  </si>
  <si>
    <t>startTime</t>
  </si>
  <si>
    <t>endTime</t>
  </si>
  <si>
    <t>duration</t>
  </si>
  <si>
    <t>status</t>
  </si>
  <si>
    <t>seasonId</t>
  </si>
  <si>
    <t>home_team_key</t>
  </si>
  <si>
    <t>away_team_key</t>
  </si>
  <si>
    <t>2026-01-18</t>
  </si>
  <si>
    <t>Final SO</t>
  </si>
  <si>
    <t>2026-01-20</t>
  </si>
  <si>
    <t>Final</t>
  </si>
  <si>
    <t>2025-11-16</t>
  </si>
  <si>
    <t>5:09 pm PST</t>
  </si>
  <si>
    <t>7:37 pm PST</t>
  </si>
  <si>
    <t>period_key</t>
  </si>
  <si>
    <t>min_time</t>
  </si>
  <si>
    <t>max_time</t>
  </si>
  <si>
    <t>period_desc</t>
  </si>
  <si>
    <t>0000-01-01 00:00:00</t>
  </si>
  <si>
    <t>0000-01-01 00:20:00</t>
  </si>
  <si>
    <t>first period</t>
  </si>
  <si>
    <t>0000-01-01 00:40:00</t>
  </si>
  <si>
    <t>second period</t>
  </si>
  <si>
    <t>0000-01-01 01:00:00</t>
  </si>
  <si>
    <t>third period</t>
  </si>
  <si>
    <t>0000-01-01 01:05:00</t>
  </si>
  <si>
    <t>over time</t>
  </si>
  <si>
    <t>0000-01-01 23:59:59</t>
  </si>
  <si>
    <t>shoot out</t>
  </si>
  <si>
    <t>all the data has come from the following colab notebook, that is pulling real data from select Seattle Torrent games</t>
  </si>
  <si>
    <t>https://colab.research.google.com/drive/1tfjEs5yjLvlpHZeyhQG4XWc-HhLmPbra?usp=sharing</t>
  </si>
  <si>
    <t>The API data takes the following structure:</t>
  </si>
  <si>
    <t>[Season] season_id, season_name, shortname, career, playoff, start_date, end_date</t>
  </si>
  <si>
    <t>[Team] team_id, name, nickname, team_code, division_id, logo, date_founded</t>
  </si>
  <si>
    <t>[Player] player_id, team_id, name, birthdate, hometown, shoots, catches, position, jersey_number</t>
  </si>
  <si>
    <t>[Game] game_id, season_id, home_team_id, away_team_id, date, gameNumber, venue, attendance, startTime, endTime, duration, started, final, status, mvpType</t>
  </si>
  <si>
    <t>[Period] none this data is in GameEvent</t>
  </si>
  <si>
    <t>[GameEvent] event_id, game_id, period_id, event_type, time, x_location, y_location</t>
  </si>
  <si>
    <t>[Shot] event_id, event_id, shooter_id, goalie_id, is_goal, shot_quality, shot_type, xLocation, yLocation, blocker_id</t>
  </si>
  <si>
    <t>[Goal], event_id, scorer_id, isPowerPlay, isShortHanded, isEmptyNet, isPenaltyShot, isInsuranceGoal, isGameWinningGoal</t>
  </si>
  <si>
    <t>[Assist] (event_id + assist_number) assist key, event_id, player_id, assist_number</t>
  </si>
  <si>
    <t>My Recommended ERD after looking through the data:</t>
  </si>
  <si>
    <t>[Season] season_id, name, shortname, career_flag, playoff_flag, start_date, end_date</t>
  </si>
  <si>
    <t>[Team] team_id, name, nickname, team_code, logo, date_founded</t>
  </si>
  <si>
    <t>[Game] game_id, season_id, home_team_id, away_team_id, venue, attendance, date, start_time, end_time, duration, status, game_number, mvp_type</t>
  </si>
  <si>
    <t>[GameEvent] event_game_id (combine event_id, game_id),combine event_id, game_id, period_number, event_type, time, x_location, y_location</t>
  </si>
  <si>
    <t>[Penalties] event_id, minutes, description, player_id, game_id</t>
  </si>
  <si>
    <t>[Shot] event_id, shooter_id, goalie_id, is_goal, shot_quality, shot_type, blocker_id</t>
  </si>
  <si>
    <t>[Goal] event_id, scorer_id, is_power_play, is_short_handed, is_empty_net, is_penalty_shot, is_insurance_goal, is_game_winning_goal</t>
  </si>
  <si>
    <t>[Assist] assist_id, event_id, player_id, assist_number</t>
  </si>
  <si>
    <t>Data we are still missing:</t>
  </si>
  <si>
    <t>[Captain] captain_id, team_id, player_id, start_date, end_date</t>
  </si>
  <si>
    <t>[Venue] venue_id, name, address, seat_capacity, date_opened</t>
  </si>
  <si>
    <t>SHOT KEY</t>
  </si>
  <si>
    <t>event_id</t>
  </si>
  <si>
    <t>event_type</t>
  </si>
  <si>
    <t>period_id</t>
  </si>
  <si>
    <t>x_location</t>
  </si>
  <si>
    <t>y_location</t>
  </si>
  <si>
    <t>goalie_change</t>
  </si>
  <si>
    <t>faceoff</t>
  </si>
  <si>
    <t>blocked_shot</t>
  </si>
  <si>
    <t>shot</t>
  </si>
  <si>
    <t>penalty</t>
  </si>
  <si>
    <t>hit</t>
  </si>
  <si>
    <t>goal</t>
  </si>
  <si>
    <t>OT1</t>
  </si>
  <si>
    <t>shootout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</si>
</sst>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[m]:ss"/>
    <numFmt numFmtId="166" formatCode="m/d/yyyy h:mm:ss"/>
    <numFmt numFmtId="167" formatCode="yyyy-mm-dd h:mm:ss"/>
    <numFmt numFmtId="168" formatCode="dddd, mmmm d,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666666"/>
      <name val="Poppins"/>
    </font>
    <font>
      <u/>
      <color rgb="FF0000FF"/>
    </font>
    <font>
      <b/>
      <sz val="12.0"/>
      <color rgb="FF1F1F1F"/>
      <name val="&quot;Google Sans Text&quot;"/>
    </font>
    <font>
      <sz val="12.0"/>
      <color rgb="FF1F1F1F"/>
      <name val="&quot;Google Sans Text&quot;"/>
    </font>
    <font>
      <b/>
      <sz val="12.0"/>
      <color rgb="FFFF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E6E8EF"/>
        <bgColor rgb="FFE6E8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horizontal="center" readingOrder="0"/>
    </xf>
    <xf borderId="0" fillId="0" fontId="1" numFmtId="0" xfId="0" applyFont="1"/>
    <xf borderId="0" fillId="0" fontId="1" numFmtId="165" xfId="0" applyFont="1" applyNumberFormat="1"/>
    <xf borderId="0" fillId="0" fontId="3" numFmtId="165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2" fontId="4" numFmtId="0" xfId="0" applyAlignment="1" applyFill="1" applyFont="1">
      <alignment readingOrder="0" shrinkToFit="0" wrapText="1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tfjEs5yjLvlpHZeyhQG4XWc-HhLmPbra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1.0</v>
      </c>
      <c r="B3" s="1" t="s">
        <v>5</v>
      </c>
      <c r="C3" s="1" t="s">
        <v>6</v>
      </c>
      <c r="D3" s="2">
        <v>6500.0</v>
      </c>
      <c r="E3" s="3" t="s">
        <v>7</v>
      </c>
      <c r="G3" s="4"/>
    </row>
    <row r="4">
      <c r="A4" s="1">
        <v>2.0</v>
      </c>
      <c r="B4" s="1" t="s">
        <v>8</v>
      </c>
      <c r="C4" s="1" t="s">
        <v>9</v>
      </c>
      <c r="D4" s="2">
        <v>18000.0</v>
      </c>
      <c r="E4" s="3" t="s">
        <v>10</v>
      </c>
    </row>
    <row r="5">
      <c r="A5" s="1">
        <v>3.0</v>
      </c>
      <c r="B5" s="1" t="s">
        <v>11</v>
      </c>
      <c r="C5" s="1" t="s">
        <v>12</v>
      </c>
      <c r="D5" s="2">
        <v>10172.0</v>
      </c>
      <c r="E5" s="3" t="s">
        <v>13</v>
      </c>
    </row>
    <row r="6">
      <c r="A6" s="1">
        <v>4.0</v>
      </c>
      <c r="B6" s="1" t="s">
        <v>14</v>
      </c>
      <c r="C6" s="1" t="s">
        <v>15</v>
      </c>
      <c r="D6" s="2">
        <v>16514.0</v>
      </c>
      <c r="E6" s="3" t="s">
        <v>16</v>
      </c>
    </row>
    <row r="7">
      <c r="A7" s="1">
        <v>5.0</v>
      </c>
      <c r="B7" s="1" t="s">
        <v>17</v>
      </c>
      <c r="C7" s="1" t="s">
        <v>18</v>
      </c>
      <c r="D7" s="2">
        <v>9000.0</v>
      </c>
      <c r="E7" s="3" t="s">
        <v>19</v>
      </c>
    </row>
    <row r="8">
      <c r="A8" s="1">
        <v>6.0</v>
      </c>
      <c r="B8" s="1" t="s">
        <v>20</v>
      </c>
      <c r="C8" s="1" t="s">
        <v>21</v>
      </c>
      <c r="D8" s="2">
        <v>8140.0</v>
      </c>
      <c r="E8" s="3" t="s">
        <v>22</v>
      </c>
    </row>
    <row r="9">
      <c r="A9" s="1">
        <v>7.0</v>
      </c>
      <c r="B9" s="1" t="s">
        <v>23</v>
      </c>
      <c r="C9" s="1" t="s">
        <v>24</v>
      </c>
      <c r="D9" s="2">
        <v>17151.0</v>
      </c>
      <c r="E9" s="3" t="s">
        <v>25</v>
      </c>
    </row>
    <row r="10">
      <c r="A10" s="1">
        <v>8.0</v>
      </c>
      <c r="B10" s="1" t="s">
        <v>26</v>
      </c>
      <c r="C10" s="1" t="s">
        <v>27</v>
      </c>
      <c r="D10" s="2">
        <v>16281.0</v>
      </c>
      <c r="E10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9.0"/>
  </cols>
  <sheetData>
    <row r="1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</row>
    <row r="2">
      <c r="A2" s="1">
        <v>8.0</v>
      </c>
      <c r="B2" s="1" t="s">
        <v>36</v>
      </c>
      <c r="C2" s="1" t="s">
        <v>37</v>
      </c>
      <c r="D2" s="1">
        <v>1.0</v>
      </c>
      <c r="E2" s="1">
        <v>0.0</v>
      </c>
      <c r="F2" s="3" t="s">
        <v>38</v>
      </c>
      <c r="G2" s="3" t="s">
        <v>39</v>
      </c>
      <c r="H2" s="1"/>
    </row>
    <row r="3">
      <c r="A3" s="1">
        <v>7.0</v>
      </c>
      <c r="B3" s="1" t="s">
        <v>40</v>
      </c>
      <c r="C3" s="1" t="s">
        <v>40</v>
      </c>
      <c r="D3" s="1">
        <v>0.0</v>
      </c>
      <c r="E3" s="1">
        <v>0.0</v>
      </c>
      <c r="F3" s="3" t="s">
        <v>41</v>
      </c>
      <c r="G3" s="3" t="s">
        <v>42</v>
      </c>
      <c r="I3" s="4"/>
      <c r="J3" s="4"/>
    </row>
    <row r="4">
      <c r="A4" s="1">
        <v>6.0</v>
      </c>
      <c r="B4" s="1" t="s">
        <v>43</v>
      </c>
      <c r="C4" s="1" t="s">
        <v>43</v>
      </c>
      <c r="D4" s="1">
        <v>1.0</v>
      </c>
      <c r="E4" s="1">
        <v>1.0</v>
      </c>
      <c r="F4" s="3" t="s">
        <v>44</v>
      </c>
      <c r="G4" s="3" t="s">
        <v>45</v>
      </c>
    </row>
    <row r="5">
      <c r="A5" s="1">
        <v>5.0</v>
      </c>
      <c r="B5" s="1" t="s">
        <v>46</v>
      </c>
      <c r="C5" s="1" t="s">
        <v>47</v>
      </c>
      <c r="D5" s="1">
        <v>1.0</v>
      </c>
      <c r="E5" s="1">
        <v>0.0</v>
      </c>
      <c r="F5" s="3" t="s">
        <v>48</v>
      </c>
      <c r="G5" s="3" t="s">
        <v>49</v>
      </c>
    </row>
    <row r="6">
      <c r="A6" s="1">
        <v>4.0</v>
      </c>
      <c r="B6" s="1" t="s">
        <v>50</v>
      </c>
      <c r="C6" s="1" t="s">
        <v>50</v>
      </c>
      <c r="D6" s="1">
        <v>0.0</v>
      </c>
      <c r="E6" s="1">
        <v>0.0</v>
      </c>
      <c r="F6" s="3" t="s">
        <v>51</v>
      </c>
      <c r="G6" s="3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53</v>
      </c>
      <c r="B1" s="4" t="s">
        <v>1</v>
      </c>
      <c r="C1" s="4" t="s">
        <v>54</v>
      </c>
      <c r="D1" s="4" t="s">
        <v>55</v>
      </c>
      <c r="E1" s="4" t="s">
        <v>56</v>
      </c>
      <c r="F1" s="4" t="s">
        <v>57</v>
      </c>
    </row>
    <row r="2">
      <c r="A2" s="1">
        <v>1.0</v>
      </c>
      <c r="B2" s="1" t="s">
        <v>58</v>
      </c>
      <c r="C2" s="1" t="s">
        <v>59</v>
      </c>
      <c r="D2" s="1" t="s">
        <v>60</v>
      </c>
      <c r="E2" s="1">
        <v>1.0</v>
      </c>
      <c r="F2" s="5">
        <v>45167.0</v>
      </c>
    </row>
    <row r="3">
      <c r="A3" s="1">
        <v>2.0</v>
      </c>
      <c r="B3" s="1" t="s">
        <v>61</v>
      </c>
      <c r="C3" s="1" t="s">
        <v>62</v>
      </c>
      <c r="D3" s="1" t="s">
        <v>63</v>
      </c>
      <c r="E3" s="1">
        <v>1.0</v>
      </c>
      <c r="F3" s="5">
        <v>45167.0</v>
      </c>
    </row>
    <row r="4">
      <c r="A4" s="1">
        <v>3.0</v>
      </c>
      <c r="B4" s="1" t="s">
        <v>64</v>
      </c>
      <c r="C4" s="1" t="s">
        <v>65</v>
      </c>
      <c r="D4" s="1" t="s">
        <v>66</v>
      </c>
      <c r="E4" s="1">
        <v>1.0</v>
      </c>
      <c r="F4" s="5">
        <v>45167.0</v>
      </c>
    </row>
    <row r="5">
      <c r="A5" s="1">
        <v>4.0</v>
      </c>
      <c r="B5" s="1" t="s">
        <v>67</v>
      </c>
      <c r="C5" s="1" t="s">
        <v>68</v>
      </c>
      <c r="D5" s="1" t="s">
        <v>69</v>
      </c>
      <c r="E5" s="1">
        <v>1.0</v>
      </c>
      <c r="F5" s="5">
        <v>45167.0</v>
      </c>
    </row>
    <row r="6">
      <c r="A6" s="1">
        <v>5.0</v>
      </c>
      <c r="B6" s="1" t="s">
        <v>70</v>
      </c>
      <c r="C6" s="1" t="s">
        <v>71</v>
      </c>
      <c r="D6" s="1" t="s">
        <v>72</v>
      </c>
      <c r="E6" s="1">
        <v>1.0</v>
      </c>
      <c r="F6" s="5">
        <v>45167.0</v>
      </c>
    </row>
    <row r="7">
      <c r="A7" s="1">
        <v>8.0</v>
      </c>
      <c r="B7" s="1" t="s">
        <v>73</v>
      </c>
      <c r="C7" s="1" t="s">
        <v>74</v>
      </c>
      <c r="D7" s="1" t="s">
        <v>75</v>
      </c>
      <c r="E7" s="1">
        <v>1.0</v>
      </c>
      <c r="F7" s="5">
        <v>45777.0</v>
      </c>
    </row>
    <row r="8">
      <c r="A8" s="1">
        <v>6.0</v>
      </c>
      <c r="B8" s="1" t="s">
        <v>76</v>
      </c>
      <c r="C8" s="1" t="s">
        <v>77</v>
      </c>
      <c r="D8" s="1" t="s">
        <v>78</v>
      </c>
      <c r="E8" s="1">
        <v>1.0</v>
      </c>
      <c r="F8" s="5">
        <v>45167.0</v>
      </c>
    </row>
    <row r="9">
      <c r="A9" s="1">
        <v>9.0</v>
      </c>
      <c r="B9" s="1" t="s">
        <v>79</v>
      </c>
      <c r="C9" s="1" t="s">
        <v>80</v>
      </c>
      <c r="D9" s="1" t="s">
        <v>81</v>
      </c>
      <c r="E9" s="1">
        <v>1.0</v>
      </c>
      <c r="F9" s="5">
        <v>45039.0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82</v>
      </c>
      <c r="B1" s="4"/>
      <c r="C1" s="4"/>
      <c r="D1" s="4"/>
      <c r="E1" s="4"/>
      <c r="F1" s="4"/>
      <c r="H1" s="6" t="s">
        <v>83</v>
      </c>
    </row>
    <row r="2">
      <c r="A2" s="4" t="s">
        <v>84</v>
      </c>
      <c r="B2" s="4" t="s">
        <v>85</v>
      </c>
      <c r="C2" s="4" t="s">
        <v>86</v>
      </c>
      <c r="D2" s="4" t="s">
        <v>1</v>
      </c>
      <c r="E2" s="4" t="s">
        <v>87</v>
      </c>
      <c r="F2" s="4" t="s">
        <v>88</v>
      </c>
    </row>
    <row r="3">
      <c r="A3" s="1">
        <v>149.0</v>
      </c>
      <c r="B3" s="1" t="s">
        <v>89</v>
      </c>
      <c r="C3" s="5">
        <v>33670.0</v>
      </c>
      <c r="D3" s="1" t="s">
        <v>90</v>
      </c>
      <c r="E3" s="1" t="s">
        <v>91</v>
      </c>
      <c r="F3" s="1"/>
    </row>
    <row r="4">
      <c r="A4" s="1">
        <v>78.0</v>
      </c>
      <c r="B4" s="1" t="s">
        <v>92</v>
      </c>
      <c r="C4" s="5">
        <v>34030.0</v>
      </c>
      <c r="D4" s="1" t="s">
        <v>93</v>
      </c>
      <c r="E4" s="1" t="s">
        <v>91</v>
      </c>
      <c r="F4" s="1"/>
    </row>
    <row r="5">
      <c r="A5" s="1">
        <v>12.0</v>
      </c>
      <c r="B5" s="1" t="s">
        <v>94</v>
      </c>
      <c r="C5" s="5">
        <v>35186.0</v>
      </c>
      <c r="D5" s="1" t="s">
        <v>95</v>
      </c>
      <c r="E5" s="1" t="s">
        <v>91</v>
      </c>
      <c r="F5" s="1"/>
    </row>
    <row r="6">
      <c r="A6" s="1">
        <v>246.0</v>
      </c>
      <c r="B6" s="1" t="s">
        <v>96</v>
      </c>
      <c r="C6" s="5">
        <v>37816.0</v>
      </c>
      <c r="D6" s="1" t="s">
        <v>97</v>
      </c>
      <c r="E6" s="1" t="s">
        <v>98</v>
      </c>
      <c r="F6" s="1"/>
    </row>
    <row r="7">
      <c r="A7" s="1">
        <v>6.0</v>
      </c>
      <c r="B7" s="1" t="s">
        <v>99</v>
      </c>
      <c r="C7" s="5">
        <v>36304.0</v>
      </c>
      <c r="D7" s="1" t="s">
        <v>100</v>
      </c>
      <c r="E7" s="1"/>
      <c r="F7" s="1" t="s">
        <v>91</v>
      </c>
    </row>
    <row r="8">
      <c r="A8" s="1">
        <v>63.0</v>
      </c>
      <c r="B8" s="1" t="s">
        <v>101</v>
      </c>
      <c r="C8" s="5">
        <v>36295.0</v>
      </c>
      <c r="D8" s="1" t="s">
        <v>102</v>
      </c>
      <c r="E8" s="1" t="s">
        <v>91</v>
      </c>
      <c r="F8" s="1"/>
    </row>
    <row r="9">
      <c r="A9" s="1">
        <v>244.0</v>
      </c>
      <c r="B9" s="1" t="s">
        <v>103</v>
      </c>
      <c r="C9" s="5">
        <v>37552.0</v>
      </c>
      <c r="D9" s="1" t="s">
        <v>104</v>
      </c>
      <c r="E9" s="1" t="s">
        <v>91</v>
      </c>
      <c r="F9" s="1"/>
    </row>
    <row r="10">
      <c r="A10" s="1">
        <v>76.0</v>
      </c>
      <c r="B10" s="1" t="s">
        <v>105</v>
      </c>
      <c r="C10" s="5">
        <v>34165.0</v>
      </c>
      <c r="D10" s="1" t="s">
        <v>106</v>
      </c>
      <c r="E10" s="1" t="s">
        <v>98</v>
      </c>
      <c r="F10" s="1"/>
      <c r="L10" s="1" t="s">
        <v>107</v>
      </c>
    </row>
    <row r="11">
      <c r="A11" s="1">
        <v>44.0</v>
      </c>
      <c r="B11" s="1" t="s">
        <v>108</v>
      </c>
      <c r="C11" s="5">
        <v>35814.0</v>
      </c>
      <c r="D11" s="1" t="s">
        <v>109</v>
      </c>
      <c r="E11" s="1" t="s">
        <v>91</v>
      </c>
      <c r="F11" s="1"/>
    </row>
    <row r="12">
      <c r="A12" s="1">
        <v>211.0</v>
      </c>
      <c r="B12" s="1" t="s">
        <v>110</v>
      </c>
      <c r="C12" s="5">
        <v>36961.0</v>
      </c>
      <c r="D12" s="1" t="s">
        <v>111</v>
      </c>
      <c r="E12" s="1"/>
      <c r="F12" s="1" t="s">
        <v>91</v>
      </c>
    </row>
    <row r="13">
      <c r="A13" s="1">
        <v>36.0</v>
      </c>
      <c r="B13" s="1" t="s">
        <v>112</v>
      </c>
      <c r="C13" s="5">
        <v>35781.0</v>
      </c>
      <c r="D13" s="1" t="s">
        <v>113</v>
      </c>
      <c r="E13" s="1" t="s">
        <v>98</v>
      </c>
      <c r="F13" s="1"/>
    </row>
    <row r="14">
      <c r="A14" s="1">
        <v>138.0</v>
      </c>
      <c r="B14" s="1" t="s">
        <v>114</v>
      </c>
      <c r="C14" s="5">
        <v>35991.0</v>
      </c>
      <c r="D14" s="1" t="s">
        <v>115</v>
      </c>
      <c r="E14" s="1" t="s">
        <v>91</v>
      </c>
      <c r="F14" s="1"/>
    </row>
    <row r="15">
      <c r="A15" s="1">
        <v>181.0</v>
      </c>
      <c r="B15" s="1" t="s">
        <v>116</v>
      </c>
      <c r="C15" s="5">
        <v>36974.0</v>
      </c>
      <c r="D15" s="1" t="s">
        <v>117</v>
      </c>
      <c r="E15" s="1" t="s">
        <v>91</v>
      </c>
      <c r="F15" s="1"/>
    </row>
    <row r="16">
      <c r="A16" s="1">
        <v>13.0</v>
      </c>
      <c r="B16" s="1" t="s">
        <v>118</v>
      </c>
      <c r="C16" s="5">
        <v>32701.0</v>
      </c>
      <c r="D16" s="1" t="s">
        <v>119</v>
      </c>
      <c r="E16" s="1" t="s">
        <v>98</v>
      </c>
      <c r="F16" s="1"/>
    </row>
    <row r="17">
      <c r="A17" s="1">
        <v>34.0</v>
      </c>
      <c r="B17" s="1" t="s">
        <v>120</v>
      </c>
      <c r="C17" s="5">
        <v>34437.0</v>
      </c>
      <c r="D17" s="1" t="s">
        <v>121</v>
      </c>
      <c r="E17" s="1" t="s">
        <v>91</v>
      </c>
      <c r="F17" s="1"/>
    </row>
    <row r="18">
      <c r="A18" s="1">
        <v>49.0</v>
      </c>
      <c r="B18" s="1" t="s">
        <v>122</v>
      </c>
      <c r="C18" s="5">
        <v>36707.0</v>
      </c>
      <c r="D18" s="1" t="s">
        <v>123</v>
      </c>
      <c r="E18" s="1" t="s">
        <v>91</v>
      </c>
      <c r="F18" s="1"/>
    </row>
    <row r="19">
      <c r="A19" s="1">
        <v>99.0</v>
      </c>
      <c r="B19" s="1" t="s">
        <v>124</v>
      </c>
      <c r="C19" s="5">
        <v>36704.0</v>
      </c>
      <c r="D19" s="1" t="s">
        <v>125</v>
      </c>
      <c r="E19" s="1" t="s">
        <v>91</v>
      </c>
      <c r="F19" s="1"/>
    </row>
    <row r="20">
      <c r="A20" s="1">
        <v>294.0</v>
      </c>
      <c r="B20" s="1" t="s">
        <v>126</v>
      </c>
      <c r="C20" s="5">
        <v>37500.0</v>
      </c>
      <c r="D20" s="1" t="s">
        <v>127</v>
      </c>
      <c r="E20" s="1" t="s">
        <v>98</v>
      </c>
      <c r="F20" s="1"/>
    </row>
    <row r="21">
      <c r="A21" s="1">
        <v>155.0</v>
      </c>
      <c r="B21" s="1" t="s">
        <v>128</v>
      </c>
      <c r="C21" s="5">
        <v>36389.0</v>
      </c>
      <c r="D21" s="1" t="s">
        <v>129</v>
      </c>
      <c r="E21" s="1"/>
      <c r="F21" s="1" t="s">
        <v>91</v>
      </c>
    </row>
    <row r="22">
      <c r="A22" s="1">
        <v>52.0</v>
      </c>
      <c r="B22" s="1" t="s">
        <v>130</v>
      </c>
      <c r="C22" s="5">
        <v>36747.0</v>
      </c>
      <c r="D22" s="1" t="s">
        <v>131</v>
      </c>
      <c r="E22" s="1" t="s">
        <v>91</v>
      </c>
      <c r="F22" s="1"/>
    </row>
    <row r="23">
      <c r="A23" s="1">
        <v>185.0</v>
      </c>
      <c r="B23" s="1" t="s">
        <v>132</v>
      </c>
      <c r="C23" s="5">
        <v>37482.0</v>
      </c>
      <c r="D23" s="1" t="s">
        <v>133</v>
      </c>
      <c r="E23" s="1" t="s">
        <v>91</v>
      </c>
      <c r="F23" s="1"/>
    </row>
    <row r="24">
      <c r="A24" s="1">
        <v>316.0</v>
      </c>
      <c r="B24" s="1" t="s">
        <v>134</v>
      </c>
      <c r="C24" s="5">
        <v>37281.0</v>
      </c>
      <c r="D24" s="1" t="s">
        <v>135</v>
      </c>
      <c r="E24" s="1" t="s">
        <v>91</v>
      </c>
      <c r="F24" s="1"/>
    </row>
    <row r="25">
      <c r="A25" s="1">
        <v>74.0</v>
      </c>
      <c r="B25" s="1" t="s">
        <v>136</v>
      </c>
      <c r="C25" s="5">
        <v>35540.0</v>
      </c>
      <c r="D25" s="1" t="s">
        <v>137</v>
      </c>
      <c r="E25" s="1" t="s">
        <v>91</v>
      </c>
      <c r="F25" s="1"/>
    </row>
    <row r="26">
      <c r="A26" s="1">
        <v>210.0</v>
      </c>
      <c r="B26" s="1" t="s">
        <v>138</v>
      </c>
      <c r="C26" s="5">
        <v>36943.0</v>
      </c>
      <c r="D26" s="1" t="s">
        <v>139</v>
      </c>
      <c r="E26" s="1" t="s">
        <v>91</v>
      </c>
      <c r="F26" s="1"/>
    </row>
    <row r="27">
      <c r="A27" s="1">
        <v>62.0</v>
      </c>
      <c r="B27" s="1" t="s">
        <v>140</v>
      </c>
      <c r="C27" s="5">
        <v>35068.0</v>
      </c>
      <c r="D27" s="1" t="s">
        <v>141</v>
      </c>
      <c r="E27" s="1" t="s">
        <v>91</v>
      </c>
      <c r="F27" s="1"/>
    </row>
    <row r="28">
      <c r="A28" s="1">
        <v>15.0</v>
      </c>
      <c r="B28" s="1" t="s">
        <v>142</v>
      </c>
      <c r="C28" s="5">
        <v>35866.0</v>
      </c>
      <c r="D28" s="1" t="s">
        <v>143</v>
      </c>
      <c r="E28" s="1" t="s">
        <v>91</v>
      </c>
    </row>
    <row r="29">
      <c r="A29" s="1">
        <v>259.0</v>
      </c>
      <c r="B29" s="1" t="s">
        <v>144</v>
      </c>
      <c r="C29" s="5">
        <v>37754.0</v>
      </c>
      <c r="D29" s="1" t="s">
        <v>145</v>
      </c>
      <c r="E29" s="1" t="s">
        <v>98</v>
      </c>
    </row>
    <row r="30">
      <c r="A30" s="1">
        <v>73.0</v>
      </c>
      <c r="B30" s="1" t="s">
        <v>146</v>
      </c>
      <c r="C30" s="5">
        <v>36468.0</v>
      </c>
      <c r="D30" s="1" t="s">
        <v>147</v>
      </c>
      <c r="E30" s="1" t="s">
        <v>91</v>
      </c>
    </row>
    <row r="31">
      <c r="A31" s="1">
        <v>26.0</v>
      </c>
      <c r="B31" s="1" t="s">
        <v>101</v>
      </c>
      <c r="C31" s="5">
        <v>36605.0</v>
      </c>
      <c r="D31" s="1" t="s">
        <v>148</v>
      </c>
      <c r="E31" s="1" t="s">
        <v>98</v>
      </c>
    </row>
    <row r="32">
      <c r="A32" s="1">
        <v>68.0</v>
      </c>
      <c r="B32" s="1" t="s">
        <v>149</v>
      </c>
      <c r="C32" s="5">
        <v>34961.0</v>
      </c>
      <c r="D32" s="1" t="s">
        <v>150</v>
      </c>
      <c r="E32" s="1" t="s">
        <v>98</v>
      </c>
    </row>
    <row r="33">
      <c r="A33" s="1">
        <v>56.0</v>
      </c>
      <c r="B33" s="1" t="s">
        <v>151</v>
      </c>
      <c r="C33" s="5">
        <v>34999.0</v>
      </c>
      <c r="D33" s="1" t="s">
        <v>152</v>
      </c>
      <c r="E33" s="1" t="s">
        <v>91</v>
      </c>
      <c r="G33" s="4"/>
      <c r="H33" s="4"/>
      <c r="J33" s="4"/>
    </row>
    <row r="34">
      <c r="A34" s="1">
        <v>91.0</v>
      </c>
      <c r="B34" s="1" t="s">
        <v>153</v>
      </c>
      <c r="C34" s="5">
        <v>36760.0</v>
      </c>
      <c r="D34" s="1" t="s">
        <v>154</v>
      </c>
      <c r="E34" s="1" t="s">
        <v>98</v>
      </c>
      <c r="J34" s="5"/>
    </row>
    <row r="35">
      <c r="A35" s="1">
        <v>2.0</v>
      </c>
      <c r="B35" s="1" t="s">
        <v>155</v>
      </c>
      <c r="C35" s="5">
        <v>36159.0</v>
      </c>
      <c r="D35" s="1" t="s">
        <v>156</v>
      </c>
      <c r="E35" s="1" t="s">
        <v>91</v>
      </c>
      <c r="J35" s="5"/>
    </row>
    <row r="36">
      <c r="A36" s="1">
        <v>196.0</v>
      </c>
      <c r="B36" s="1" t="s">
        <v>157</v>
      </c>
      <c r="C36" s="5">
        <v>36167.0</v>
      </c>
      <c r="D36" s="1" t="s">
        <v>158</v>
      </c>
      <c r="E36" s="1" t="s">
        <v>98</v>
      </c>
      <c r="F36" s="1"/>
      <c r="J36" s="5"/>
    </row>
    <row r="37">
      <c r="A37" s="1">
        <v>100.0</v>
      </c>
      <c r="B37" s="1" t="s">
        <v>159</v>
      </c>
      <c r="C37" s="5">
        <v>33163.0</v>
      </c>
      <c r="D37" s="1" t="s">
        <v>160</v>
      </c>
      <c r="E37" s="1" t="s">
        <v>98</v>
      </c>
      <c r="J37" s="5"/>
    </row>
    <row r="38">
      <c r="A38" s="1">
        <v>237.0</v>
      </c>
      <c r="B38" s="1" t="s">
        <v>161</v>
      </c>
      <c r="C38" s="5">
        <v>37328.0</v>
      </c>
      <c r="D38" s="1" t="s">
        <v>162</v>
      </c>
      <c r="E38" s="1" t="s">
        <v>98</v>
      </c>
      <c r="J38" s="5"/>
    </row>
    <row r="39">
      <c r="A39" s="1">
        <v>203.0</v>
      </c>
      <c r="B39" s="1" t="s">
        <v>163</v>
      </c>
      <c r="C39" s="5">
        <v>36474.0</v>
      </c>
      <c r="D39" s="1" t="s">
        <v>164</v>
      </c>
      <c r="E39" s="1" t="s">
        <v>91</v>
      </c>
      <c r="J39" s="5"/>
    </row>
    <row r="40">
      <c r="A40" s="1">
        <v>134.0</v>
      </c>
      <c r="B40" s="1" t="s">
        <v>165</v>
      </c>
      <c r="C40" s="5">
        <v>35604.0</v>
      </c>
      <c r="D40" s="1" t="s">
        <v>166</v>
      </c>
      <c r="F40" s="1" t="s">
        <v>91</v>
      </c>
      <c r="J40" s="5"/>
    </row>
    <row r="41">
      <c r="A41" s="1">
        <v>140.0</v>
      </c>
      <c r="B41" s="1" t="s">
        <v>167</v>
      </c>
      <c r="C41" s="5">
        <v>36071.0</v>
      </c>
      <c r="D41" s="1" t="s">
        <v>168</v>
      </c>
      <c r="E41" s="1" t="s">
        <v>98</v>
      </c>
      <c r="J41" s="5"/>
    </row>
    <row r="42">
      <c r="A42" s="1">
        <v>89.0</v>
      </c>
      <c r="B42" s="1" t="s">
        <v>169</v>
      </c>
      <c r="C42" s="5">
        <v>35111.0</v>
      </c>
      <c r="D42" s="1" t="s">
        <v>170</v>
      </c>
      <c r="E42" s="1" t="s">
        <v>91</v>
      </c>
      <c r="J42" s="5"/>
    </row>
    <row r="43">
      <c r="A43" s="1">
        <v>64.0</v>
      </c>
      <c r="B43" s="1" t="s">
        <v>171</v>
      </c>
      <c r="C43" s="5">
        <v>35764.0</v>
      </c>
      <c r="D43" s="1" t="s">
        <v>172</v>
      </c>
      <c r="F43" s="1" t="s">
        <v>91</v>
      </c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</sheetData>
  <conditionalFormatting sqref="H1">
    <cfRule type="expression" dxfId="0" priority="1">
      <formula>COUNTIF(#REF!, H1)&gt;1</formula>
    </cfRule>
  </conditionalFormatting>
  <conditionalFormatting sqref="A1:A37 A47:A198">
    <cfRule type="expression" dxfId="0" priority="2">
      <formula>COUNTIF(A:A, A1)&gt;1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</cols>
  <sheetData>
    <row r="1">
      <c r="B1" s="4" t="s">
        <v>84</v>
      </c>
      <c r="C1" s="4" t="s">
        <v>87</v>
      </c>
      <c r="D1" s="4" t="s">
        <v>85</v>
      </c>
      <c r="E1" s="4" t="s">
        <v>86</v>
      </c>
      <c r="F1" s="4" t="s">
        <v>173</v>
      </c>
      <c r="G1" s="4" t="s">
        <v>174</v>
      </c>
      <c r="H1" s="4" t="s">
        <v>1</v>
      </c>
      <c r="I1" s="4" t="s">
        <v>88</v>
      </c>
      <c r="K1" s="4"/>
      <c r="L1" s="4"/>
      <c r="M1" s="4"/>
      <c r="N1" s="4"/>
      <c r="O1" s="4"/>
      <c r="P1" s="4"/>
      <c r="Q1" s="4"/>
      <c r="R1" s="4"/>
    </row>
    <row r="2" hidden="1">
      <c r="B2" s="1">
        <v>18.0</v>
      </c>
      <c r="C2" s="1" t="s">
        <v>98</v>
      </c>
      <c r="D2" s="1" t="s">
        <v>175</v>
      </c>
      <c r="E2" s="5">
        <v>36341.0</v>
      </c>
      <c r="F2" s="1">
        <v>9.0</v>
      </c>
      <c r="G2" s="1" t="s">
        <v>176</v>
      </c>
      <c r="H2" s="1" t="s">
        <v>177</v>
      </c>
      <c r="I2" s="1"/>
      <c r="N2" s="5"/>
    </row>
    <row r="3" hidden="1">
      <c r="B3" s="1">
        <v>15.0</v>
      </c>
      <c r="C3" s="1" t="s">
        <v>91</v>
      </c>
      <c r="D3" s="1" t="s">
        <v>142</v>
      </c>
      <c r="E3" s="5">
        <v>35866.0</v>
      </c>
      <c r="F3" s="1">
        <v>11.0</v>
      </c>
      <c r="G3" s="1" t="s">
        <v>178</v>
      </c>
      <c r="H3" s="1" t="s">
        <v>143</v>
      </c>
      <c r="I3" s="1"/>
      <c r="N3" s="5"/>
    </row>
    <row r="4" hidden="1">
      <c r="B4" s="1">
        <v>97.0</v>
      </c>
      <c r="C4" s="1" t="s">
        <v>91</v>
      </c>
      <c r="D4" s="1" t="s">
        <v>179</v>
      </c>
      <c r="E4" s="5">
        <v>36204.0</v>
      </c>
      <c r="F4" s="1">
        <v>13.0</v>
      </c>
      <c r="G4" s="1" t="s">
        <v>178</v>
      </c>
      <c r="H4" s="1" t="s">
        <v>180</v>
      </c>
      <c r="I4" s="1"/>
      <c r="N4" s="5"/>
    </row>
    <row r="5" hidden="1">
      <c r="B5" s="1">
        <v>256.0</v>
      </c>
      <c r="C5" s="1" t="s">
        <v>98</v>
      </c>
      <c r="D5" s="1" t="s">
        <v>181</v>
      </c>
      <c r="E5" s="5">
        <v>37192.0</v>
      </c>
      <c r="F5" s="1">
        <v>15.0</v>
      </c>
      <c r="G5" s="1" t="s">
        <v>176</v>
      </c>
      <c r="H5" s="1" t="s">
        <v>182</v>
      </c>
      <c r="I5" s="1"/>
      <c r="N5" s="5"/>
    </row>
    <row r="6" hidden="1">
      <c r="B6" s="1">
        <v>17.0</v>
      </c>
      <c r="C6" s="1" t="s">
        <v>91</v>
      </c>
      <c r="D6" s="1" t="s">
        <v>183</v>
      </c>
      <c r="E6" s="5">
        <v>36628.0</v>
      </c>
      <c r="F6" s="1">
        <v>17.0</v>
      </c>
      <c r="G6" s="1" t="s">
        <v>184</v>
      </c>
      <c r="H6" s="1" t="s">
        <v>185</v>
      </c>
      <c r="I6" s="1"/>
      <c r="N6" s="5"/>
    </row>
    <row r="7" hidden="1">
      <c r="B7" s="1">
        <v>259.0</v>
      </c>
      <c r="C7" s="1" t="s">
        <v>98</v>
      </c>
      <c r="D7" s="1" t="s">
        <v>144</v>
      </c>
      <c r="E7" s="5">
        <v>37754.0</v>
      </c>
      <c r="F7" s="1">
        <v>19.0</v>
      </c>
      <c r="G7" s="1" t="s">
        <v>176</v>
      </c>
      <c r="H7" s="1" t="s">
        <v>145</v>
      </c>
      <c r="I7" s="1"/>
      <c r="N7" s="5"/>
    </row>
    <row r="8" hidden="1">
      <c r="B8" s="1">
        <v>1.0</v>
      </c>
      <c r="C8" s="1" t="s">
        <v>98</v>
      </c>
      <c r="D8" s="1" t="s">
        <v>186</v>
      </c>
      <c r="E8" s="5">
        <v>34300.0</v>
      </c>
      <c r="F8" s="1">
        <v>20.0</v>
      </c>
      <c r="G8" s="1" t="s">
        <v>178</v>
      </c>
      <c r="H8" s="1" t="s">
        <v>187</v>
      </c>
      <c r="I8" s="1"/>
      <c r="N8" s="5"/>
    </row>
    <row r="9" hidden="1">
      <c r="B9" s="1">
        <v>212.0</v>
      </c>
      <c r="C9" s="1" t="s">
        <v>91</v>
      </c>
      <c r="D9" s="1" t="s">
        <v>188</v>
      </c>
      <c r="E9" s="5">
        <v>35375.0</v>
      </c>
      <c r="F9" s="1">
        <v>25.0</v>
      </c>
      <c r="G9" s="1" t="s">
        <v>184</v>
      </c>
      <c r="H9" s="1" t="s">
        <v>189</v>
      </c>
      <c r="I9" s="1"/>
      <c r="N9" s="5"/>
    </row>
    <row r="10" hidden="1">
      <c r="B10" s="1">
        <v>243.0</v>
      </c>
      <c r="C10" s="1" t="s">
        <v>91</v>
      </c>
      <c r="D10" s="1" t="s">
        <v>190</v>
      </c>
      <c r="E10" s="5">
        <v>37608.0</v>
      </c>
      <c r="F10" s="1">
        <v>26.0</v>
      </c>
      <c r="G10" s="1" t="s">
        <v>184</v>
      </c>
      <c r="H10" s="1" t="s">
        <v>191</v>
      </c>
      <c r="I10" s="1"/>
      <c r="N10" s="5"/>
    </row>
    <row r="11" hidden="1">
      <c r="B11" s="1">
        <v>183.0</v>
      </c>
      <c r="C11" s="1" t="s">
        <v>98</v>
      </c>
      <c r="D11" s="1" t="s">
        <v>192</v>
      </c>
      <c r="E11" s="5">
        <v>36538.0</v>
      </c>
      <c r="F11" s="1">
        <v>27.0</v>
      </c>
      <c r="G11" s="1" t="s">
        <v>176</v>
      </c>
      <c r="H11" s="1" t="s">
        <v>193</v>
      </c>
      <c r="I11" s="1"/>
      <c r="N11" s="5"/>
    </row>
    <row r="12" hidden="1">
      <c r="B12" s="1">
        <v>8.0</v>
      </c>
      <c r="C12" s="1" t="s">
        <v>91</v>
      </c>
      <c r="D12" s="1" t="s">
        <v>194</v>
      </c>
      <c r="E12" s="5">
        <v>35635.0</v>
      </c>
      <c r="F12" s="1">
        <v>36.0</v>
      </c>
      <c r="G12" s="1" t="s">
        <v>184</v>
      </c>
      <c r="H12" s="1" t="s">
        <v>195</v>
      </c>
      <c r="I12" s="1"/>
      <c r="N12" s="5"/>
    </row>
    <row r="13" hidden="1">
      <c r="B13" s="1">
        <v>149.0</v>
      </c>
      <c r="C13" s="1" t="s">
        <v>91</v>
      </c>
      <c r="D13" s="1" t="s">
        <v>89</v>
      </c>
      <c r="E13" s="5">
        <v>33670.0</v>
      </c>
      <c r="F13" s="1">
        <v>44.0</v>
      </c>
      <c r="G13" s="1" t="s">
        <v>184</v>
      </c>
      <c r="H13" s="1" t="s">
        <v>90</v>
      </c>
      <c r="I13" s="1"/>
      <c r="N13" s="5"/>
    </row>
    <row r="14" hidden="1">
      <c r="B14" s="1">
        <v>16.0</v>
      </c>
      <c r="C14" s="1" t="s">
        <v>91</v>
      </c>
      <c r="D14" s="1" t="s">
        <v>196</v>
      </c>
      <c r="E14" s="5">
        <v>33877.0</v>
      </c>
      <c r="F14" s="1">
        <v>47.0</v>
      </c>
      <c r="G14" s="1" t="s">
        <v>176</v>
      </c>
      <c r="H14" s="1" t="s">
        <v>197</v>
      </c>
      <c r="I14" s="1"/>
      <c r="N14" s="5"/>
    </row>
    <row r="15" hidden="1">
      <c r="B15" s="1">
        <v>78.0</v>
      </c>
      <c r="C15" s="1" t="s">
        <v>91</v>
      </c>
      <c r="D15" s="1" t="s">
        <v>92</v>
      </c>
      <c r="E15" s="5">
        <v>34030.0</v>
      </c>
      <c r="F15" s="1">
        <v>77.0</v>
      </c>
      <c r="G15" s="1" t="s">
        <v>178</v>
      </c>
      <c r="H15" s="1" t="s">
        <v>93</v>
      </c>
      <c r="I15" s="1"/>
      <c r="N15" s="5"/>
    </row>
    <row r="16" hidden="1">
      <c r="B16" s="1">
        <v>52.0</v>
      </c>
      <c r="C16" s="1" t="s">
        <v>91</v>
      </c>
      <c r="D16" s="1" t="s">
        <v>130</v>
      </c>
      <c r="E16" s="5">
        <v>36747.0</v>
      </c>
      <c r="F16" s="1">
        <v>3.0</v>
      </c>
      <c r="G16" s="1" t="s">
        <v>198</v>
      </c>
      <c r="H16" s="1" t="s">
        <v>131</v>
      </c>
      <c r="I16" s="1"/>
      <c r="N16" s="5"/>
    </row>
    <row r="17" hidden="1">
      <c r="B17" s="1">
        <v>12.0</v>
      </c>
      <c r="C17" s="1" t="s">
        <v>91</v>
      </c>
      <c r="D17" s="1" t="s">
        <v>94</v>
      </c>
      <c r="E17" s="5">
        <v>35186.0</v>
      </c>
      <c r="F17" s="1">
        <v>5.0</v>
      </c>
      <c r="G17" s="1" t="s">
        <v>198</v>
      </c>
      <c r="H17" s="1" t="s">
        <v>95</v>
      </c>
      <c r="I17" s="1"/>
      <c r="N17" s="5"/>
    </row>
    <row r="18" hidden="1">
      <c r="B18" s="1">
        <v>182.0</v>
      </c>
      <c r="C18" s="1" t="s">
        <v>98</v>
      </c>
      <c r="D18" s="1" t="s">
        <v>199</v>
      </c>
      <c r="E18" s="5">
        <v>36975.0</v>
      </c>
      <c r="F18" s="1">
        <v>6.0</v>
      </c>
      <c r="G18" s="1" t="s">
        <v>200</v>
      </c>
      <c r="H18" s="1" t="s">
        <v>201</v>
      </c>
      <c r="I18" s="1"/>
      <c r="N18" s="5"/>
    </row>
    <row r="19" hidden="1">
      <c r="B19" s="1">
        <v>254.0</v>
      </c>
      <c r="C19" s="1" t="s">
        <v>91</v>
      </c>
      <c r="D19" s="1" t="s">
        <v>202</v>
      </c>
      <c r="E19" s="5">
        <v>37461.0</v>
      </c>
      <c r="F19" s="1">
        <v>7.0</v>
      </c>
      <c r="G19" s="1" t="s">
        <v>200</v>
      </c>
      <c r="H19" s="1" t="s">
        <v>203</v>
      </c>
      <c r="I19" s="1"/>
      <c r="N19" s="5"/>
    </row>
    <row r="20" hidden="1">
      <c r="B20" s="1">
        <v>246.0</v>
      </c>
      <c r="C20" s="1" t="s">
        <v>98</v>
      </c>
      <c r="D20" s="1" t="s">
        <v>96</v>
      </c>
      <c r="E20" s="5">
        <v>37816.0</v>
      </c>
      <c r="F20" s="1">
        <v>8.0</v>
      </c>
      <c r="G20" s="1" t="s">
        <v>200</v>
      </c>
      <c r="H20" s="1" t="s">
        <v>97</v>
      </c>
      <c r="I20" s="1"/>
      <c r="N20" s="5"/>
    </row>
    <row r="21" hidden="1">
      <c r="B21" s="1">
        <v>255.0</v>
      </c>
      <c r="C21" s="1" t="s">
        <v>98</v>
      </c>
      <c r="D21" s="1" t="s">
        <v>204</v>
      </c>
      <c r="E21" s="5">
        <v>37443.0</v>
      </c>
      <c r="F21" s="1">
        <v>16.0</v>
      </c>
      <c r="G21" s="1" t="s">
        <v>200</v>
      </c>
      <c r="H21" s="1" t="s">
        <v>205</v>
      </c>
      <c r="I21" s="1"/>
      <c r="N21" s="5"/>
    </row>
    <row r="22" hidden="1">
      <c r="B22" s="1">
        <v>232.0</v>
      </c>
      <c r="C22" s="1" t="s">
        <v>91</v>
      </c>
      <c r="D22" s="1" t="s">
        <v>206</v>
      </c>
      <c r="E22" s="5">
        <v>36590.0</v>
      </c>
      <c r="F22" s="1">
        <v>53.0</v>
      </c>
      <c r="G22" s="1" t="s">
        <v>198</v>
      </c>
      <c r="H22" s="1" t="s">
        <v>207</v>
      </c>
      <c r="I22" s="1"/>
      <c r="N22" s="5"/>
    </row>
    <row r="23" hidden="1">
      <c r="B23" s="1">
        <v>185.0</v>
      </c>
      <c r="C23" s="1" t="s">
        <v>91</v>
      </c>
      <c r="D23" s="1" t="s">
        <v>132</v>
      </c>
      <c r="E23" s="5">
        <v>37482.0</v>
      </c>
      <c r="F23" s="1">
        <v>55.0</v>
      </c>
      <c r="G23" s="1" t="s">
        <v>198</v>
      </c>
      <c r="H23" s="1" t="s">
        <v>133</v>
      </c>
      <c r="I23" s="1"/>
      <c r="N23" s="5"/>
    </row>
    <row r="24" hidden="1">
      <c r="B24" s="1">
        <v>46.0</v>
      </c>
      <c r="C24" s="1" t="s">
        <v>91</v>
      </c>
      <c r="D24" s="1" t="s">
        <v>208</v>
      </c>
      <c r="E24" s="5">
        <v>35455.0</v>
      </c>
      <c r="F24" s="1">
        <v>73.0</v>
      </c>
      <c r="G24" s="1" t="s">
        <v>198</v>
      </c>
      <c r="H24" s="1" t="s">
        <v>209</v>
      </c>
      <c r="I24" s="1"/>
      <c r="N24" s="5"/>
    </row>
    <row r="25" hidden="1">
      <c r="B25" s="1">
        <v>262.0</v>
      </c>
      <c r="C25" s="1"/>
      <c r="D25" s="1" t="s">
        <v>210</v>
      </c>
      <c r="E25" s="5">
        <v>37437.0</v>
      </c>
      <c r="F25" s="1">
        <v>30.0</v>
      </c>
      <c r="G25" s="1" t="s">
        <v>211</v>
      </c>
      <c r="H25" s="1" t="s">
        <v>212</v>
      </c>
      <c r="I25" s="1" t="s">
        <v>91</v>
      </c>
      <c r="N25" s="5"/>
    </row>
    <row r="26" hidden="1">
      <c r="B26" s="1">
        <v>6.0</v>
      </c>
      <c r="C26" s="1"/>
      <c r="D26" s="1" t="s">
        <v>99</v>
      </c>
      <c r="E26" s="5">
        <v>36304.0</v>
      </c>
      <c r="F26" s="1">
        <v>31.0</v>
      </c>
      <c r="G26" s="1" t="s">
        <v>211</v>
      </c>
      <c r="H26" s="1" t="s">
        <v>100</v>
      </c>
      <c r="I26" s="1" t="s">
        <v>91</v>
      </c>
      <c r="N26" s="5"/>
    </row>
    <row r="27" hidden="1">
      <c r="B27" s="1">
        <v>41.0</v>
      </c>
      <c r="C27" s="1"/>
      <c r="D27" s="1" t="s">
        <v>213</v>
      </c>
      <c r="E27" s="5">
        <v>36618.0</v>
      </c>
      <c r="F27" s="1">
        <v>39.0</v>
      </c>
      <c r="G27" s="1" t="s">
        <v>211</v>
      </c>
      <c r="H27" s="1" t="s">
        <v>214</v>
      </c>
      <c r="I27" s="1" t="s">
        <v>91</v>
      </c>
      <c r="N27" s="5"/>
    </row>
    <row r="28" hidden="1">
      <c r="B28" s="1">
        <v>116.0</v>
      </c>
      <c r="C28" s="1" t="s">
        <v>91</v>
      </c>
      <c r="D28" s="1" t="s">
        <v>215</v>
      </c>
      <c r="E28" s="5">
        <v>36318.0</v>
      </c>
      <c r="F28" s="1">
        <v>8.0</v>
      </c>
      <c r="G28" s="1" t="s">
        <v>216</v>
      </c>
      <c r="H28" s="1" t="s">
        <v>217</v>
      </c>
      <c r="I28" s="1"/>
    </row>
    <row r="29" hidden="1">
      <c r="B29" s="1">
        <v>63.0</v>
      </c>
      <c r="C29" s="1" t="s">
        <v>91</v>
      </c>
      <c r="D29" s="1" t="s">
        <v>101</v>
      </c>
      <c r="E29" s="5">
        <v>36295.0</v>
      </c>
      <c r="F29" s="1">
        <v>9.0</v>
      </c>
      <c r="G29" s="1" t="s">
        <v>216</v>
      </c>
      <c r="H29" s="1" t="s">
        <v>102</v>
      </c>
      <c r="I29" s="1"/>
    </row>
    <row r="30" hidden="1">
      <c r="B30" s="1">
        <v>317.0</v>
      </c>
      <c r="C30" s="1" t="s">
        <v>91</v>
      </c>
      <c r="D30" s="1" t="s">
        <v>218</v>
      </c>
      <c r="E30" s="5">
        <v>37490.0</v>
      </c>
      <c r="F30" s="1">
        <v>11.0</v>
      </c>
      <c r="G30" s="1" t="s">
        <v>216</v>
      </c>
      <c r="H30" s="1" t="s">
        <v>219</v>
      </c>
      <c r="I30" s="1"/>
    </row>
    <row r="31" hidden="1">
      <c r="B31" s="1">
        <v>315.0</v>
      </c>
      <c r="C31" s="1" t="s">
        <v>91</v>
      </c>
      <c r="D31" s="1" t="s">
        <v>146</v>
      </c>
      <c r="E31" s="5">
        <v>37805.0</v>
      </c>
      <c r="F31" s="1">
        <v>16.0</v>
      </c>
      <c r="G31" s="1" t="s">
        <v>216</v>
      </c>
      <c r="H31" s="1" t="s">
        <v>220</v>
      </c>
      <c r="I31" s="1"/>
    </row>
    <row r="32" hidden="1">
      <c r="B32" s="1">
        <v>65.0</v>
      </c>
      <c r="C32" s="1" t="s">
        <v>98</v>
      </c>
      <c r="D32" s="1" t="s">
        <v>221</v>
      </c>
      <c r="E32" s="5">
        <v>36342.0</v>
      </c>
      <c r="F32" s="1">
        <v>18.0</v>
      </c>
      <c r="G32" s="1" t="s">
        <v>216</v>
      </c>
      <c r="H32" s="1" t="s">
        <v>222</v>
      </c>
      <c r="I32" s="1"/>
    </row>
    <row r="33" hidden="1">
      <c r="B33" s="1">
        <v>313.0</v>
      </c>
      <c r="C33" s="1" t="s">
        <v>91</v>
      </c>
      <c r="D33" s="1" t="s">
        <v>223</v>
      </c>
      <c r="E33" s="5">
        <v>35834.0</v>
      </c>
      <c r="F33" s="1">
        <v>19.0</v>
      </c>
      <c r="G33" s="1" t="s">
        <v>216</v>
      </c>
      <c r="H33" s="1" t="s">
        <v>224</v>
      </c>
      <c r="I33" s="1"/>
    </row>
    <row r="34" hidden="1">
      <c r="B34" s="1">
        <v>244.0</v>
      </c>
      <c r="C34" s="1" t="s">
        <v>91</v>
      </c>
      <c r="D34" s="1" t="s">
        <v>103</v>
      </c>
      <c r="E34" s="5">
        <v>37552.0</v>
      </c>
      <c r="F34" s="1">
        <v>20.0</v>
      </c>
      <c r="G34" s="1" t="s">
        <v>216</v>
      </c>
      <c r="H34" s="1" t="s">
        <v>104</v>
      </c>
      <c r="I34" s="1"/>
    </row>
    <row r="35" hidden="1">
      <c r="B35" s="1">
        <v>54.0</v>
      </c>
      <c r="C35" s="1" t="s">
        <v>98</v>
      </c>
      <c r="D35" s="1" t="s">
        <v>130</v>
      </c>
      <c r="E35" s="5">
        <v>36860.0</v>
      </c>
      <c r="F35" s="1">
        <v>21.0</v>
      </c>
      <c r="G35" s="1" t="s">
        <v>216</v>
      </c>
      <c r="H35" s="1" t="s">
        <v>225</v>
      </c>
      <c r="I35" s="1"/>
    </row>
    <row r="36" hidden="1">
      <c r="B36" s="1">
        <v>66.0</v>
      </c>
      <c r="C36" s="1" t="s">
        <v>91</v>
      </c>
      <c r="D36" s="1" t="s">
        <v>226</v>
      </c>
      <c r="E36" s="5">
        <v>36821.0</v>
      </c>
      <c r="F36" s="1">
        <v>22.0</v>
      </c>
      <c r="G36" s="1" t="s">
        <v>216</v>
      </c>
      <c r="H36" s="1" t="s">
        <v>227</v>
      </c>
      <c r="I36" s="1"/>
    </row>
    <row r="37">
      <c r="B37" s="1">
        <v>100.0</v>
      </c>
      <c r="C37" s="1" t="s">
        <v>98</v>
      </c>
      <c r="D37" s="1" t="s">
        <v>159</v>
      </c>
      <c r="E37" s="5">
        <v>33163.0</v>
      </c>
      <c r="F37" s="1">
        <v>24.0</v>
      </c>
      <c r="G37" s="1" t="s">
        <v>216</v>
      </c>
      <c r="H37" s="1" t="s">
        <v>160</v>
      </c>
      <c r="I37" s="1"/>
    </row>
    <row r="38" hidden="1">
      <c r="B38" s="1">
        <v>316.0</v>
      </c>
      <c r="C38" s="1" t="s">
        <v>91</v>
      </c>
      <c r="D38" s="1" t="s">
        <v>134</v>
      </c>
      <c r="E38" s="5">
        <v>37281.0</v>
      </c>
      <c r="F38" s="1">
        <v>25.0</v>
      </c>
      <c r="G38" s="1" t="s">
        <v>216</v>
      </c>
      <c r="H38" s="1" t="s">
        <v>135</v>
      </c>
      <c r="I38" s="1"/>
    </row>
    <row r="39" hidden="1">
      <c r="B39" s="1">
        <v>73.0</v>
      </c>
      <c r="C39" s="1" t="s">
        <v>91</v>
      </c>
      <c r="D39" s="1" t="s">
        <v>146</v>
      </c>
      <c r="E39" s="5">
        <v>36468.0</v>
      </c>
      <c r="F39" s="1">
        <v>27.0</v>
      </c>
      <c r="G39" s="1" t="s">
        <v>216</v>
      </c>
      <c r="H39" s="1" t="s">
        <v>147</v>
      </c>
      <c r="I39" s="1"/>
    </row>
    <row r="40" hidden="1">
      <c r="B40" s="1">
        <v>76.0</v>
      </c>
      <c r="C40" s="1" t="s">
        <v>98</v>
      </c>
      <c r="D40" s="1" t="s">
        <v>105</v>
      </c>
      <c r="E40" s="5">
        <v>34165.0</v>
      </c>
      <c r="F40" s="1">
        <v>40.0</v>
      </c>
      <c r="G40" s="1" t="s">
        <v>216</v>
      </c>
      <c r="H40" s="1" t="s">
        <v>106</v>
      </c>
      <c r="I40" s="1"/>
    </row>
    <row r="41" hidden="1">
      <c r="B41" s="1">
        <v>26.0</v>
      </c>
      <c r="C41" s="1" t="s">
        <v>98</v>
      </c>
      <c r="D41" s="1" t="s">
        <v>101</v>
      </c>
      <c r="E41" s="5">
        <v>36605.0</v>
      </c>
      <c r="F41" s="1">
        <v>42.0</v>
      </c>
      <c r="G41" s="1" t="s">
        <v>216</v>
      </c>
      <c r="H41" s="1" t="s">
        <v>148</v>
      </c>
      <c r="I41" s="1"/>
    </row>
    <row r="42" hidden="1">
      <c r="B42" s="1">
        <v>86.0</v>
      </c>
      <c r="C42" s="1" t="s">
        <v>98</v>
      </c>
      <c r="D42" s="1" t="s">
        <v>228</v>
      </c>
      <c r="E42" s="5">
        <v>35051.0</v>
      </c>
      <c r="F42" s="1">
        <v>67.0</v>
      </c>
      <c r="G42" s="1" t="s">
        <v>216</v>
      </c>
      <c r="H42" s="1" t="s">
        <v>229</v>
      </c>
      <c r="I42" s="1"/>
    </row>
    <row r="43" hidden="1">
      <c r="B43" s="1">
        <v>132.0</v>
      </c>
      <c r="C43" s="1" t="s">
        <v>98</v>
      </c>
      <c r="D43" s="1" t="s">
        <v>230</v>
      </c>
      <c r="E43" s="5">
        <v>36528.0</v>
      </c>
      <c r="F43" s="1">
        <v>2.0</v>
      </c>
      <c r="G43" s="1" t="s">
        <v>231</v>
      </c>
      <c r="H43" s="1" t="s">
        <v>232</v>
      </c>
      <c r="I43" s="1"/>
    </row>
    <row r="44" hidden="1">
      <c r="B44" s="1">
        <v>68.0</v>
      </c>
      <c r="C44" s="1" t="s">
        <v>98</v>
      </c>
      <c r="D44" s="1" t="s">
        <v>149</v>
      </c>
      <c r="E44" s="5">
        <v>34961.0</v>
      </c>
      <c r="F44" s="1">
        <v>6.0</v>
      </c>
      <c r="G44" s="1" t="s">
        <v>231</v>
      </c>
      <c r="H44" s="1" t="s">
        <v>150</v>
      </c>
      <c r="I44" s="1"/>
    </row>
    <row r="45" hidden="1">
      <c r="B45" s="1">
        <v>311.0</v>
      </c>
      <c r="C45" s="1" t="s">
        <v>91</v>
      </c>
      <c r="D45" s="1" t="s">
        <v>233</v>
      </c>
      <c r="E45" s="5">
        <v>37812.0</v>
      </c>
      <c r="F45" s="1">
        <v>10.0</v>
      </c>
      <c r="G45" s="1" t="s">
        <v>231</v>
      </c>
      <c r="H45" s="1" t="s">
        <v>234</v>
      </c>
      <c r="I45" s="1"/>
    </row>
    <row r="46" hidden="1">
      <c r="B46" s="1">
        <v>74.0</v>
      </c>
      <c r="C46" s="1" t="s">
        <v>91</v>
      </c>
      <c r="D46" s="1" t="s">
        <v>136</v>
      </c>
      <c r="E46" s="5">
        <v>35540.0</v>
      </c>
      <c r="F46" s="1">
        <v>12.0</v>
      </c>
      <c r="G46" s="1" t="s">
        <v>231</v>
      </c>
      <c r="H46" s="1" t="s">
        <v>137</v>
      </c>
      <c r="I46" s="1"/>
    </row>
    <row r="47" hidden="1">
      <c r="B47" s="1">
        <v>67.0</v>
      </c>
      <c r="C47" s="1" t="s">
        <v>98</v>
      </c>
      <c r="D47" s="1" t="s">
        <v>146</v>
      </c>
      <c r="E47" s="5">
        <v>34613.0</v>
      </c>
      <c r="F47" s="1">
        <v>14.0</v>
      </c>
      <c r="G47" s="1" t="s">
        <v>231</v>
      </c>
      <c r="H47" s="1" t="s">
        <v>235</v>
      </c>
      <c r="I47" s="1"/>
    </row>
    <row r="48" hidden="1">
      <c r="B48" s="1">
        <v>56.0</v>
      </c>
      <c r="C48" s="1" t="s">
        <v>91</v>
      </c>
      <c r="D48" s="1" t="s">
        <v>151</v>
      </c>
      <c r="E48" s="5">
        <v>34999.0</v>
      </c>
      <c r="F48" s="1">
        <v>15.0</v>
      </c>
      <c r="G48" s="1" t="s">
        <v>231</v>
      </c>
      <c r="H48" s="1" t="s">
        <v>152</v>
      </c>
      <c r="I48" s="1"/>
    </row>
    <row r="49" hidden="1">
      <c r="B49" s="1">
        <v>44.0</v>
      </c>
      <c r="C49" s="1" t="s">
        <v>91</v>
      </c>
      <c r="D49" s="1" t="s">
        <v>108</v>
      </c>
      <c r="E49" s="5">
        <v>35814.0</v>
      </c>
      <c r="F49" s="1">
        <v>17.0</v>
      </c>
      <c r="G49" s="1" t="s">
        <v>231</v>
      </c>
      <c r="H49" s="1" t="s">
        <v>109</v>
      </c>
      <c r="I49" s="1"/>
    </row>
    <row r="50" hidden="1">
      <c r="B50" s="1">
        <v>200.0</v>
      </c>
      <c r="C50" s="1" t="s">
        <v>98</v>
      </c>
      <c r="D50" s="1" t="s">
        <v>236</v>
      </c>
      <c r="E50" s="5">
        <v>34409.0</v>
      </c>
      <c r="F50" s="1">
        <v>71.0</v>
      </c>
      <c r="G50" s="1" t="s">
        <v>231</v>
      </c>
      <c r="H50" s="1" t="s">
        <v>237</v>
      </c>
      <c r="I50" s="1"/>
    </row>
    <row r="51" hidden="1">
      <c r="B51" s="1">
        <v>211.0</v>
      </c>
      <c r="C51" s="1"/>
      <c r="D51" s="1" t="s">
        <v>110</v>
      </c>
      <c r="E51" s="5">
        <v>36961.0</v>
      </c>
      <c r="F51" s="1">
        <v>1.0</v>
      </c>
      <c r="G51" s="1" t="s">
        <v>211</v>
      </c>
      <c r="H51" s="1" t="s">
        <v>111</v>
      </c>
      <c r="I51" s="1" t="s">
        <v>91</v>
      </c>
    </row>
    <row r="52" hidden="1">
      <c r="B52" s="1">
        <v>85.0</v>
      </c>
      <c r="C52" s="1"/>
      <c r="D52" s="1" t="s">
        <v>238</v>
      </c>
      <c r="E52" s="5">
        <v>34470.0</v>
      </c>
      <c r="F52" s="1">
        <v>29.0</v>
      </c>
      <c r="G52" s="1" t="s">
        <v>211</v>
      </c>
      <c r="H52" s="1" t="s">
        <v>239</v>
      </c>
      <c r="I52" s="1" t="s">
        <v>91</v>
      </c>
    </row>
    <row r="53" hidden="1">
      <c r="B53" s="1">
        <v>314.0</v>
      </c>
      <c r="C53" s="1"/>
      <c r="D53" s="1" t="s">
        <v>240</v>
      </c>
      <c r="E53" s="5">
        <v>37610.0</v>
      </c>
      <c r="F53" s="1">
        <v>91.0</v>
      </c>
      <c r="G53" s="1" t="s">
        <v>211</v>
      </c>
      <c r="H53" s="1" t="s">
        <v>241</v>
      </c>
      <c r="I53" s="1" t="s">
        <v>91</v>
      </c>
    </row>
    <row r="54" hidden="1">
      <c r="B54" s="1">
        <v>291.0</v>
      </c>
      <c r="C54" s="1" t="s">
        <v>91</v>
      </c>
      <c r="D54" s="1" t="s">
        <v>242</v>
      </c>
      <c r="E54" s="5">
        <v>37171.0</v>
      </c>
      <c r="F54" s="1">
        <v>7.0</v>
      </c>
      <c r="G54" s="1" t="s">
        <v>216</v>
      </c>
      <c r="H54" s="1" t="s">
        <v>243</v>
      </c>
      <c r="I54" s="1"/>
    </row>
    <row r="55" hidden="1">
      <c r="B55" s="1">
        <v>142.0</v>
      </c>
      <c r="C55" s="1" t="s">
        <v>91</v>
      </c>
      <c r="D55" s="1" t="s">
        <v>244</v>
      </c>
      <c r="E55" s="5">
        <v>36146.0</v>
      </c>
      <c r="F55" s="1">
        <v>8.0</v>
      </c>
      <c r="G55" s="1" t="s">
        <v>216</v>
      </c>
      <c r="H55" s="1" t="s">
        <v>245</v>
      </c>
      <c r="I55" s="1"/>
    </row>
    <row r="56" hidden="1">
      <c r="B56" s="1">
        <v>36.0</v>
      </c>
      <c r="C56" s="1" t="s">
        <v>98</v>
      </c>
      <c r="D56" s="1" t="s">
        <v>112</v>
      </c>
      <c r="E56" s="5">
        <v>35781.0</v>
      </c>
      <c r="F56" s="1">
        <v>9.0</v>
      </c>
      <c r="G56" s="1" t="s">
        <v>216</v>
      </c>
      <c r="H56" s="1" t="s">
        <v>113</v>
      </c>
      <c r="I56" s="1"/>
    </row>
    <row r="57" hidden="1">
      <c r="B57" s="1">
        <v>237.0</v>
      </c>
      <c r="C57" s="1" t="s">
        <v>98</v>
      </c>
      <c r="D57" s="1" t="s">
        <v>161</v>
      </c>
      <c r="E57" s="5">
        <v>37328.0</v>
      </c>
      <c r="F57" s="1">
        <v>10.0</v>
      </c>
      <c r="G57" s="1" t="s">
        <v>216</v>
      </c>
      <c r="H57" s="1" t="s">
        <v>162</v>
      </c>
      <c r="I57" s="1"/>
    </row>
    <row r="58" hidden="1">
      <c r="B58" s="1">
        <v>138.0</v>
      </c>
      <c r="C58" s="1" t="s">
        <v>91</v>
      </c>
      <c r="D58" s="1" t="s">
        <v>114</v>
      </c>
      <c r="E58" s="5">
        <v>35991.0</v>
      </c>
      <c r="F58" s="1">
        <v>13.0</v>
      </c>
      <c r="G58" s="1" t="s">
        <v>216</v>
      </c>
      <c r="H58" s="1" t="s">
        <v>115</v>
      </c>
      <c r="I58" s="1"/>
    </row>
    <row r="59" hidden="1">
      <c r="B59" s="1">
        <v>91.0</v>
      </c>
      <c r="C59" s="1" t="s">
        <v>98</v>
      </c>
      <c r="D59" s="1" t="s">
        <v>153</v>
      </c>
      <c r="E59" s="5">
        <v>36760.0</v>
      </c>
      <c r="F59" s="1">
        <v>17.0</v>
      </c>
      <c r="G59" s="1" t="s">
        <v>216</v>
      </c>
      <c r="H59" s="1" t="s">
        <v>154</v>
      </c>
      <c r="I59" s="1"/>
    </row>
    <row r="60" hidden="1">
      <c r="B60" s="1">
        <v>181.0</v>
      </c>
      <c r="C60" s="1" t="s">
        <v>91</v>
      </c>
      <c r="D60" s="1" t="s">
        <v>116</v>
      </c>
      <c r="E60" s="5">
        <v>36974.0</v>
      </c>
      <c r="F60" s="1">
        <v>19.0</v>
      </c>
      <c r="G60" s="1" t="s">
        <v>216</v>
      </c>
      <c r="H60" s="1" t="s">
        <v>117</v>
      </c>
      <c r="I60" s="1"/>
    </row>
    <row r="61" hidden="1">
      <c r="B61" s="1">
        <v>13.0</v>
      </c>
      <c r="C61" s="1" t="s">
        <v>98</v>
      </c>
      <c r="D61" s="1" t="s">
        <v>118</v>
      </c>
      <c r="E61" s="5">
        <v>32701.0</v>
      </c>
      <c r="F61" s="1">
        <v>21.0</v>
      </c>
      <c r="G61" s="1" t="s">
        <v>216</v>
      </c>
      <c r="H61" s="1" t="s">
        <v>119</v>
      </c>
      <c r="I61" s="1"/>
    </row>
    <row r="62" hidden="1">
      <c r="B62" s="1">
        <v>34.0</v>
      </c>
      <c r="C62" s="1" t="s">
        <v>91</v>
      </c>
      <c r="D62" s="1" t="s">
        <v>120</v>
      </c>
      <c r="E62" s="5">
        <v>34437.0</v>
      </c>
      <c r="F62" s="1">
        <v>25.0</v>
      </c>
      <c r="G62" s="1" t="s">
        <v>216</v>
      </c>
      <c r="H62" s="1" t="s">
        <v>121</v>
      </c>
      <c r="I62" s="1"/>
    </row>
    <row r="63" hidden="1">
      <c r="B63" s="1">
        <v>292.0</v>
      </c>
      <c r="C63" s="1" t="s">
        <v>98</v>
      </c>
      <c r="D63" s="1" t="s">
        <v>246</v>
      </c>
      <c r="E63" s="5">
        <v>37432.0</v>
      </c>
      <c r="F63" s="1">
        <v>52.0</v>
      </c>
      <c r="G63" s="1" t="s">
        <v>216</v>
      </c>
      <c r="H63" s="1" t="s">
        <v>247</v>
      </c>
      <c r="I63" s="1"/>
    </row>
    <row r="64" hidden="1">
      <c r="B64" s="1">
        <v>295.0</v>
      </c>
      <c r="C64" s="1" t="s">
        <v>91</v>
      </c>
      <c r="D64" s="1" t="s">
        <v>248</v>
      </c>
      <c r="E64" s="5">
        <v>36818.0</v>
      </c>
      <c r="F64" s="1">
        <v>66.0</v>
      </c>
      <c r="G64" s="1" t="s">
        <v>216</v>
      </c>
      <c r="H64" s="1" t="s">
        <v>249</v>
      </c>
      <c r="I64" s="1"/>
    </row>
    <row r="65" hidden="1">
      <c r="B65" s="1">
        <v>293.0</v>
      </c>
      <c r="C65" s="1" t="s">
        <v>98</v>
      </c>
      <c r="D65" s="1" t="s">
        <v>250</v>
      </c>
      <c r="E65" s="5">
        <v>37285.0</v>
      </c>
      <c r="F65" s="1">
        <v>71.0</v>
      </c>
      <c r="G65" s="1" t="s">
        <v>216</v>
      </c>
      <c r="H65" s="1" t="s">
        <v>251</v>
      </c>
      <c r="I65" s="1"/>
    </row>
    <row r="66" hidden="1">
      <c r="B66" s="1">
        <v>49.0</v>
      </c>
      <c r="C66" s="1" t="s">
        <v>91</v>
      </c>
      <c r="D66" s="1" t="s">
        <v>122</v>
      </c>
      <c r="E66" s="5">
        <v>36707.0</v>
      </c>
      <c r="F66" s="1">
        <v>78.0</v>
      </c>
      <c r="G66" s="1" t="s">
        <v>216</v>
      </c>
      <c r="H66" s="1" t="s">
        <v>123</v>
      </c>
      <c r="I66" s="1"/>
    </row>
    <row r="67" hidden="1">
      <c r="B67" s="1">
        <v>210.0</v>
      </c>
      <c r="C67" s="1" t="s">
        <v>91</v>
      </c>
      <c r="D67" s="1" t="s">
        <v>138</v>
      </c>
      <c r="E67" s="5">
        <v>36943.0</v>
      </c>
      <c r="F67" s="1">
        <v>88.0</v>
      </c>
      <c r="G67" s="1" t="s">
        <v>216</v>
      </c>
      <c r="H67" s="1" t="s">
        <v>139</v>
      </c>
      <c r="I67" s="1"/>
    </row>
    <row r="68" hidden="1">
      <c r="B68" s="1">
        <v>224.0</v>
      </c>
      <c r="C68" s="1" t="s">
        <v>98</v>
      </c>
      <c r="D68" s="1" t="s">
        <v>252</v>
      </c>
      <c r="E68" s="5">
        <v>37023.0</v>
      </c>
      <c r="F68" s="1">
        <v>92.0</v>
      </c>
      <c r="G68" s="1" t="s">
        <v>216</v>
      </c>
      <c r="H68" s="1" t="s">
        <v>253</v>
      </c>
      <c r="I68" s="1"/>
    </row>
    <row r="69" hidden="1">
      <c r="B69" s="1">
        <v>62.0</v>
      </c>
      <c r="C69" s="1" t="s">
        <v>91</v>
      </c>
      <c r="D69" s="1" t="s">
        <v>140</v>
      </c>
      <c r="E69" s="5">
        <v>35068.0</v>
      </c>
      <c r="F69" s="1">
        <v>2.0</v>
      </c>
      <c r="G69" s="1" t="s">
        <v>231</v>
      </c>
      <c r="H69" s="1" t="s">
        <v>141</v>
      </c>
      <c r="I69" s="1"/>
    </row>
    <row r="70" hidden="1">
      <c r="B70" s="1">
        <v>196.0</v>
      </c>
      <c r="C70" s="1" t="s">
        <v>98</v>
      </c>
      <c r="D70" s="1" t="s">
        <v>157</v>
      </c>
      <c r="E70" s="5">
        <v>36167.0</v>
      </c>
      <c r="F70" s="1">
        <v>3.0</v>
      </c>
      <c r="G70" s="1" t="s">
        <v>231</v>
      </c>
      <c r="H70" s="1" t="s">
        <v>158</v>
      </c>
      <c r="I70" s="1"/>
    </row>
    <row r="71" hidden="1">
      <c r="B71" s="1">
        <v>203.0</v>
      </c>
      <c r="C71" s="1" t="s">
        <v>91</v>
      </c>
      <c r="D71" s="1" t="s">
        <v>163</v>
      </c>
      <c r="E71" s="5">
        <v>36474.0</v>
      </c>
      <c r="F71" s="1">
        <v>5.0</v>
      </c>
      <c r="G71" s="1" t="s">
        <v>231</v>
      </c>
      <c r="H71" s="1" t="s">
        <v>164</v>
      </c>
      <c r="I71" s="1"/>
    </row>
    <row r="72" hidden="1">
      <c r="B72" s="1">
        <v>298.0</v>
      </c>
      <c r="C72" s="1" t="s">
        <v>98</v>
      </c>
      <c r="D72" s="1" t="s">
        <v>254</v>
      </c>
      <c r="E72" s="5">
        <v>37761.0</v>
      </c>
      <c r="F72" s="1">
        <v>6.0</v>
      </c>
      <c r="G72" s="1" t="s">
        <v>231</v>
      </c>
      <c r="H72" s="1" t="s">
        <v>255</v>
      </c>
      <c r="I72" s="1"/>
    </row>
    <row r="73" hidden="1">
      <c r="B73" s="1">
        <v>2.0</v>
      </c>
      <c r="C73" s="1" t="s">
        <v>91</v>
      </c>
      <c r="D73" s="1" t="s">
        <v>155</v>
      </c>
      <c r="E73" s="5">
        <v>36159.0</v>
      </c>
      <c r="F73" s="1">
        <v>11.0</v>
      </c>
      <c r="G73" s="1" t="s">
        <v>231</v>
      </c>
      <c r="H73" s="1" t="s">
        <v>156</v>
      </c>
      <c r="I73" s="1"/>
    </row>
    <row r="74" hidden="1">
      <c r="B74" s="1">
        <v>99.0</v>
      </c>
      <c r="C74" s="1" t="s">
        <v>91</v>
      </c>
      <c r="D74" s="1" t="s">
        <v>124</v>
      </c>
      <c r="E74" s="5">
        <v>36704.0</v>
      </c>
      <c r="F74" s="1">
        <v>20.0</v>
      </c>
      <c r="G74" s="1" t="s">
        <v>231</v>
      </c>
      <c r="H74" s="1" t="s">
        <v>125</v>
      </c>
      <c r="I74" s="1"/>
    </row>
    <row r="75" hidden="1">
      <c r="B75" s="1">
        <v>294.0</v>
      </c>
      <c r="C75" s="1" t="s">
        <v>98</v>
      </c>
      <c r="D75" s="1" t="s">
        <v>126</v>
      </c>
      <c r="E75" s="5">
        <v>37500.0</v>
      </c>
      <c r="F75" s="1">
        <v>24.0</v>
      </c>
      <c r="G75" s="1" t="s">
        <v>231</v>
      </c>
      <c r="H75" s="1" t="s">
        <v>127</v>
      </c>
      <c r="I75" s="1"/>
    </row>
    <row r="76" hidden="1">
      <c r="B76" s="1">
        <v>208.0</v>
      </c>
      <c r="C76" s="1" t="s">
        <v>91</v>
      </c>
      <c r="D76" s="1" t="s">
        <v>256</v>
      </c>
      <c r="E76" s="5">
        <v>37034.0</v>
      </c>
      <c r="F76" s="1">
        <v>27.0</v>
      </c>
      <c r="G76" s="1" t="s">
        <v>231</v>
      </c>
      <c r="H76" s="1" t="s">
        <v>257</v>
      </c>
      <c r="I76" s="1"/>
    </row>
    <row r="77" hidden="1">
      <c r="B77" s="1">
        <v>155.0</v>
      </c>
      <c r="C77" s="1"/>
      <c r="D77" s="1" t="s">
        <v>128</v>
      </c>
      <c r="E77" s="5">
        <v>36389.0</v>
      </c>
      <c r="F77" s="1">
        <v>30.0</v>
      </c>
      <c r="G77" s="1" t="s">
        <v>211</v>
      </c>
      <c r="H77" s="1" t="s">
        <v>129</v>
      </c>
      <c r="I77" s="1" t="s">
        <v>91</v>
      </c>
    </row>
    <row r="78" hidden="1">
      <c r="B78" s="1">
        <v>134.0</v>
      </c>
      <c r="C78" s="1"/>
      <c r="D78" s="1" t="s">
        <v>165</v>
      </c>
      <c r="E78" s="5">
        <v>35604.0</v>
      </c>
      <c r="F78" s="1">
        <v>70.0</v>
      </c>
      <c r="G78" s="1" t="s">
        <v>211</v>
      </c>
      <c r="H78" s="1" t="s">
        <v>166</v>
      </c>
      <c r="I78" s="1" t="s">
        <v>91</v>
      </c>
    </row>
    <row r="79" hidden="1">
      <c r="B79" s="1">
        <v>250.0</v>
      </c>
      <c r="C79" s="1"/>
      <c r="D79" s="1" t="s">
        <v>258</v>
      </c>
      <c r="E79" s="5">
        <v>37836.0</v>
      </c>
      <c r="F79" s="1">
        <v>83.0</v>
      </c>
      <c r="G79" s="1" t="s">
        <v>211</v>
      </c>
      <c r="H79" s="1" t="s">
        <v>259</v>
      </c>
      <c r="I79" s="1" t="s">
        <v>91</v>
      </c>
    </row>
  </sheetData>
  <autoFilter ref="$B$1:$I$79">
    <filterColumn colId="0">
      <filters>
        <filter val="100"/>
      </filters>
    </filterColumn>
  </autoFilter>
  <conditionalFormatting sqref="B1:B999 K1 K14:K21 K27">
    <cfRule type="expression" dxfId="0" priority="1">
      <formula>COUNTIF(B:B, B1)&gt;1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8" max="8" width="29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4" t="s">
        <v>82</v>
      </c>
      <c r="B2" s="4"/>
      <c r="C2" s="4" t="s">
        <v>260</v>
      </c>
      <c r="D2" s="4" t="s">
        <v>260</v>
      </c>
      <c r="E2" s="4" t="s">
        <v>260</v>
      </c>
      <c r="F2" s="4" t="s">
        <v>260</v>
      </c>
      <c r="G2" s="4"/>
      <c r="H2" s="4"/>
      <c r="I2" s="4"/>
      <c r="J2" s="4"/>
      <c r="K2" s="4"/>
      <c r="L2" s="4"/>
    </row>
    <row r="3">
      <c r="A3" s="4" t="s">
        <v>261</v>
      </c>
      <c r="B3" s="7" t="s">
        <v>262</v>
      </c>
      <c r="C3" s="4" t="s">
        <v>263</v>
      </c>
      <c r="D3" s="4" t="s">
        <v>264</v>
      </c>
      <c r="E3" s="4" t="s">
        <v>265</v>
      </c>
      <c r="F3" s="4" t="s">
        <v>266</v>
      </c>
      <c r="G3" s="4" t="s">
        <v>267</v>
      </c>
      <c r="H3" s="4" t="s">
        <v>268</v>
      </c>
      <c r="I3" s="4" t="s">
        <v>269</v>
      </c>
      <c r="J3" s="4" t="s">
        <v>270</v>
      </c>
      <c r="K3" s="4" t="s">
        <v>271</v>
      </c>
    </row>
    <row r="4">
      <c r="A4" s="8" t="s">
        <v>272</v>
      </c>
      <c r="B4" s="9">
        <v>0.004398148148148148</v>
      </c>
      <c r="C4" s="1">
        <v>34.0</v>
      </c>
      <c r="D4" s="1">
        <v>259.0</v>
      </c>
      <c r="E4" s="1">
        <v>6.0</v>
      </c>
      <c r="F4" s="1">
        <v>149.0</v>
      </c>
      <c r="G4" s="1">
        <v>0.0</v>
      </c>
      <c r="H4" s="1" t="s">
        <v>273</v>
      </c>
      <c r="I4" s="1" t="s">
        <v>274</v>
      </c>
      <c r="J4" s="1">
        <v>175.0</v>
      </c>
      <c r="K4" s="1">
        <v>143.0</v>
      </c>
    </row>
    <row r="5">
      <c r="A5" s="8" t="s">
        <v>275</v>
      </c>
      <c r="B5" s="9">
        <v>0.008657407407407409</v>
      </c>
      <c r="C5" s="1">
        <v>12.0</v>
      </c>
      <c r="D5" s="1">
        <v>259.0</v>
      </c>
      <c r="E5" s="1">
        <v>155.0</v>
      </c>
      <c r="G5" s="1">
        <v>1.0</v>
      </c>
      <c r="H5" s="1" t="s">
        <v>276</v>
      </c>
      <c r="I5" s="1" t="s">
        <v>277</v>
      </c>
      <c r="J5" s="1">
        <v>423.0</v>
      </c>
      <c r="K5" s="1">
        <v>203.0</v>
      </c>
    </row>
    <row r="6">
      <c r="A6" s="8" t="s">
        <v>278</v>
      </c>
      <c r="B6" s="9">
        <v>0.009606481481481481</v>
      </c>
      <c r="C6" s="1">
        <v>12.0</v>
      </c>
      <c r="D6" s="1">
        <v>259.0</v>
      </c>
      <c r="E6" s="1">
        <v>155.0</v>
      </c>
      <c r="F6" s="1">
        <v>99.0</v>
      </c>
      <c r="G6" s="1">
        <v>0.0</v>
      </c>
      <c r="H6" s="1" t="s">
        <v>273</v>
      </c>
      <c r="I6" s="1" t="s">
        <v>277</v>
      </c>
      <c r="J6" s="1">
        <v>434.0</v>
      </c>
      <c r="K6" s="1">
        <v>217.0</v>
      </c>
    </row>
    <row r="7">
      <c r="A7" s="8" t="s">
        <v>279</v>
      </c>
      <c r="B7" s="9">
        <v>0.009722222222222222</v>
      </c>
      <c r="C7" s="1">
        <v>246.0</v>
      </c>
      <c r="D7" s="1">
        <v>259.0</v>
      </c>
      <c r="E7" s="1">
        <v>155.0</v>
      </c>
      <c r="F7" s="1">
        <v>49.0</v>
      </c>
      <c r="G7" s="1">
        <v>0.0</v>
      </c>
      <c r="H7" s="1" t="s">
        <v>273</v>
      </c>
      <c r="I7" s="1" t="s">
        <v>274</v>
      </c>
      <c r="J7" s="1">
        <v>389.0</v>
      </c>
      <c r="K7" s="1">
        <v>173.0</v>
      </c>
    </row>
    <row r="8">
      <c r="A8" s="8" t="s">
        <v>280</v>
      </c>
      <c r="B8" s="9">
        <v>0.01790509259259259</v>
      </c>
      <c r="C8" s="1">
        <v>210.0</v>
      </c>
      <c r="D8" s="1">
        <v>259.0</v>
      </c>
      <c r="E8" s="1">
        <v>6.0</v>
      </c>
      <c r="G8" s="1">
        <v>1.0</v>
      </c>
      <c r="H8" s="1" t="s">
        <v>276</v>
      </c>
      <c r="I8" s="1" t="s">
        <v>277</v>
      </c>
      <c r="J8" s="1">
        <v>81.0</v>
      </c>
      <c r="K8" s="1">
        <v>67.0</v>
      </c>
    </row>
    <row r="9">
      <c r="A9" s="8" t="s">
        <v>281</v>
      </c>
      <c r="B9" s="9">
        <v>9.027777777777778E-4</v>
      </c>
      <c r="C9" s="1">
        <v>76.0</v>
      </c>
      <c r="D9" s="1">
        <v>261.0</v>
      </c>
      <c r="E9" s="1">
        <v>155.0</v>
      </c>
      <c r="G9" s="1">
        <v>1.0</v>
      </c>
      <c r="H9" s="1" t="s">
        <v>282</v>
      </c>
      <c r="I9" s="1" t="s">
        <v>283</v>
      </c>
      <c r="J9" s="1">
        <v>513.0</v>
      </c>
      <c r="K9" s="1">
        <v>196.0</v>
      </c>
    </row>
    <row r="10">
      <c r="A10" s="8" t="s">
        <v>284</v>
      </c>
      <c r="B10" s="9">
        <v>0.006851851851851851</v>
      </c>
      <c r="C10" s="1">
        <v>13.0</v>
      </c>
      <c r="D10" s="1">
        <v>261.0</v>
      </c>
      <c r="E10" s="1">
        <v>211.0</v>
      </c>
      <c r="G10" s="1">
        <v>1.0</v>
      </c>
      <c r="H10" s="1" t="s">
        <v>276</v>
      </c>
      <c r="I10" s="1" t="s">
        <v>283</v>
      </c>
      <c r="J10" s="1">
        <v>48.0</v>
      </c>
      <c r="K10" s="1">
        <v>178.0</v>
      </c>
    </row>
    <row r="11">
      <c r="A11" s="8" t="s">
        <v>285</v>
      </c>
      <c r="B11" s="9">
        <v>0.007569444444444445</v>
      </c>
      <c r="C11" s="1">
        <v>138.0</v>
      </c>
      <c r="D11" s="1">
        <v>261.0</v>
      </c>
      <c r="E11" s="1">
        <v>211.0</v>
      </c>
      <c r="F11" s="1">
        <v>76.0</v>
      </c>
      <c r="G11" s="1">
        <v>0.0</v>
      </c>
      <c r="H11" s="1" t="s">
        <v>273</v>
      </c>
      <c r="I11" s="1" t="s">
        <v>286</v>
      </c>
      <c r="J11" s="1">
        <v>70.0</v>
      </c>
      <c r="K11" s="1">
        <v>99.0</v>
      </c>
    </row>
    <row r="12">
      <c r="A12" s="8" t="s">
        <v>287</v>
      </c>
      <c r="B12" s="9">
        <v>0.008715277777777778</v>
      </c>
      <c r="C12" s="1">
        <v>244.0</v>
      </c>
      <c r="D12" s="1">
        <v>261.0</v>
      </c>
      <c r="E12" s="1">
        <v>155.0</v>
      </c>
      <c r="G12" s="1">
        <v>0.0</v>
      </c>
      <c r="H12" s="1" t="s">
        <v>288</v>
      </c>
      <c r="I12" s="1" t="s">
        <v>283</v>
      </c>
      <c r="J12" s="1">
        <v>525.0</v>
      </c>
      <c r="K12" s="1">
        <v>170.0</v>
      </c>
    </row>
    <row r="13">
      <c r="A13" s="8" t="s">
        <v>289</v>
      </c>
      <c r="B13" s="9">
        <v>0.009594907407407406</v>
      </c>
      <c r="C13" s="1">
        <v>181.0</v>
      </c>
      <c r="D13" s="1">
        <v>261.0</v>
      </c>
      <c r="E13" s="1">
        <v>211.0</v>
      </c>
      <c r="G13" s="1">
        <v>1.0</v>
      </c>
      <c r="H13" s="1" t="s">
        <v>276</v>
      </c>
      <c r="I13" s="1" t="s">
        <v>290</v>
      </c>
      <c r="J13" s="1">
        <v>39.0</v>
      </c>
      <c r="K13" s="1">
        <v>165.0</v>
      </c>
    </row>
    <row r="14">
      <c r="A14" s="8" t="s">
        <v>291</v>
      </c>
      <c r="B14" s="9">
        <v>0.021180555555555557</v>
      </c>
      <c r="C14" s="1">
        <v>68.0</v>
      </c>
      <c r="D14" s="1">
        <v>261.0</v>
      </c>
      <c r="E14" s="1">
        <v>155.0</v>
      </c>
      <c r="G14" s="1">
        <v>1.0</v>
      </c>
      <c r="H14" s="1" t="s">
        <v>276</v>
      </c>
      <c r="I14" s="1" t="s">
        <v>283</v>
      </c>
      <c r="J14" s="1">
        <v>406.0</v>
      </c>
      <c r="K14" s="1">
        <v>153.0</v>
      </c>
    </row>
    <row r="15">
      <c r="A15" s="8" t="s">
        <v>292</v>
      </c>
      <c r="B15" s="9">
        <v>0.04043981481481481</v>
      </c>
      <c r="C15" s="1">
        <v>36.0</v>
      </c>
      <c r="D15" s="1">
        <v>261.0</v>
      </c>
      <c r="E15" s="1">
        <v>211.0</v>
      </c>
      <c r="G15" s="1">
        <v>1.0</v>
      </c>
      <c r="H15" s="1" t="s">
        <v>282</v>
      </c>
      <c r="I15" s="1" t="s">
        <v>283</v>
      </c>
      <c r="J15" s="1">
        <v>99.0</v>
      </c>
      <c r="K15" s="1">
        <v>147.0</v>
      </c>
    </row>
    <row r="16">
      <c r="A16" s="8" t="s">
        <v>293</v>
      </c>
      <c r="B16" s="10">
        <v>0.014034143518518517</v>
      </c>
      <c r="C16" s="1">
        <v>210.0</v>
      </c>
      <c r="D16" s="1">
        <v>261.0</v>
      </c>
      <c r="E16" s="1">
        <v>211.0</v>
      </c>
      <c r="G16" s="1">
        <v>1.0</v>
      </c>
      <c r="H16" s="1" t="s">
        <v>282</v>
      </c>
      <c r="I16" s="1" t="s">
        <v>274</v>
      </c>
      <c r="J16" s="1">
        <v>86.0</v>
      </c>
      <c r="K16" s="1">
        <v>143.0</v>
      </c>
    </row>
    <row r="17">
      <c r="A17" s="8" t="s">
        <v>294</v>
      </c>
      <c r="B17" s="10">
        <v>0.027937692901234566</v>
      </c>
      <c r="C17" s="1">
        <v>208.0</v>
      </c>
      <c r="D17" s="1">
        <v>261.0</v>
      </c>
      <c r="E17" s="1">
        <v>211.0</v>
      </c>
      <c r="G17" s="1">
        <v>1.0</v>
      </c>
      <c r="H17" s="1" t="s">
        <v>282</v>
      </c>
      <c r="I17" s="1" t="s">
        <v>274</v>
      </c>
      <c r="J17" s="1">
        <v>93.0</v>
      </c>
      <c r="K17" s="1">
        <v>161.0</v>
      </c>
    </row>
    <row r="18">
      <c r="A18" s="8" t="s">
        <v>295</v>
      </c>
      <c r="B18" s="10">
        <v>0.028130787037037034</v>
      </c>
      <c r="C18" s="1">
        <v>100.0</v>
      </c>
      <c r="D18" s="1">
        <v>261.0</v>
      </c>
      <c r="E18" s="1">
        <v>155.0</v>
      </c>
      <c r="G18" s="1">
        <v>1.0</v>
      </c>
      <c r="H18" s="1" t="s">
        <v>282</v>
      </c>
      <c r="I18" s="1" t="s">
        <v>286</v>
      </c>
      <c r="J18" s="1">
        <v>522.0</v>
      </c>
      <c r="K18" s="1">
        <v>150.0</v>
      </c>
    </row>
    <row r="19">
      <c r="A19" s="8" t="s">
        <v>296</v>
      </c>
      <c r="B19" s="11">
        <v>0.5965277777777778</v>
      </c>
      <c r="C19" s="1">
        <v>138.0</v>
      </c>
      <c r="D19" s="1">
        <v>335.0</v>
      </c>
      <c r="E19" s="1">
        <v>64.0</v>
      </c>
      <c r="G19" s="1">
        <v>1.0</v>
      </c>
      <c r="H19" s="1" t="s">
        <v>282</v>
      </c>
      <c r="I19" s="1" t="s">
        <v>286</v>
      </c>
      <c r="J19" s="1">
        <v>481.0</v>
      </c>
      <c r="K19" s="1">
        <v>173.0</v>
      </c>
    </row>
    <row r="20">
      <c r="A20" s="8" t="s">
        <v>297</v>
      </c>
      <c r="B20" s="11">
        <v>0.6104166666666667</v>
      </c>
      <c r="C20" s="1">
        <v>237.0</v>
      </c>
      <c r="D20" s="1">
        <v>335.0</v>
      </c>
      <c r="E20" s="1">
        <v>64.0</v>
      </c>
      <c r="G20" s="1">
        <v>1.0</v>
      </c>
      <c r="H20" s="1" t="s">
        <v>282</v>
      </c>
      <c r="I20" s="1" t="s">
        <v>283</v>
      </c>
      <c r="J20" s="1">
        <v>526.0</v>
      </c>
      <c r="K20" s="1">
        <v>177.0</v>
      </c>
    </row>
    <row r="21">
      <c r="A21" s="8" t="s">
        <v>298</v>
      </c>
      <c r="B21" s="12">
        <v>0.038385416666666665</v>
      </c>
      <c r="C21" s="1">
        <v>140.0</v>
      </c>
      <c r="D21" s="1">
        <v>335.0</v>
      </c>
      <c r="E21" s="1">
        <v>134.0</v>
      </c>
      <c r="G21" s="1">
        <v>1.0</v>
      </c>
      <c r="H21" s="1" t="s">
        <v>282</v>
      </c>
      <c r="I21" s="1" t="s">
        <v>274</v>
      </c>
      <c r="J21" s="1">
        <v>75.0</v>
      </c>
      <c r="K21" s="1">
        <v>161.0</v>
      </c>
    </row>
    <row r="22">
      <c r="B22" s="12"/>
    </row>
    <row r="24">
      <c r="B24" s="11"/>
    </row>
    <row r="25">
      <c r="B25" s="11"/>
      <c r="E25" s="4"/>
      <c r="F25" s="4"/>
      <c r="G25" s="4"/>
      <c r="H25" s="4"/>
      <c r="I25" s="4"/>
      <c r="J25" s="4"/>
      <c r="K25" s="4"/>
      <c r="L25" s="4"/>
      <c r="M25" s="4"/>
    </row>
    <row r="26">
      <c r="D26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82</v>
      </c>
      <c r="B1" s="4" t="s">
        <v>260</v>
      </c>
      <c r="C1" s="13"/>
      <c r="D1" s="13"/>
      <c r="E1" s="13"/>
      <c r="F1" s="13"/>
      <c r="G1" s="13"/>
      <c r="H1" s="13"/>
    </row>
    <row r="2">
      <c r="A2" s="14" t="s">
        <v>299</v>
      </c>
      <c r="B2" s="4" t="s">
        <v>261</v>
      </c>
      <c r="C2" s="13" t="s">
        <v>300</v>
      </c>
      <c r="D2" s="13" t="s">
        <v>301</v>
      </c>
      <c r="E2" s="13" t="s">
        <v>302</v>
      </c>
      <c r="F2" s="13" t="s">
        <v>303</v>
      </c>
      <c r="G2" s="13" t="s">
        <v>304</v>
      </c>
      <c r="H2" s="13" t="s">
        <v>305</v>
      </c>
      <c r="I2" s="4" t="s">
        <v>306</v>
      </c>
    </row>
    <row r="3">
      <c r="A3" s="8" t="s">
        <v>307</v>
      </c>
      <c r="B3" s="8">
        <v>36.0</v>
      </c>
      <c r="C3" s="1">
        <v>1.0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259.0</v>
      </c>
    </row>
    <row r="4">
      <c r="A4" s="8" t="s">
        <v>308</v>
      </c>
      <c r="B4" s="8">
        <v>4.0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261.0</v>
      </c>
    </row>
    <row r="5">
      <c r="A5" s="8" t="s">
        <v>309</v>
      </c>
      <c r="B5" s="8">
        <v>16.0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261.0</v>
      </c>
    </row>
    <row r="6">
      <c r="A6" s="8" t="s">
        <v>310</v>
      </c>
      <c r="B6" s="8">
        <v>47.0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261.0</v>
      </c>
    </row>
    <row r="7">
      <c r="A7" s="8" t="s">
        <v>311</v>
      </c>
      <c r="B7" s="8">
        <v>57.0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261.0</v>
      </c>
    </row>
    <row r="8">
      <c r="A8" s="8" t="s">
        <v>312</v>
      </c>
      <c r="B8" s="8">
        <v>203.0</v>
      </c>
      <c r="C8" s="1">
        <v>0.0</v>
      </c>
      <c r="D8" s="1">
        <v>0.0</v>
      </c>
      <c r="E8" s="1">
        <v>0.0</v>
      </c>
      <c r="F8" s="1">
        <v>0.0</v>
      </c>
      <c r="G8" s="1">
        <v>1.0</v>
      </c>
      <c r="H8" s="1">
        <v>0.0</v>
      </c>
      <c r="I8" s="1">
        <v>261.0</v>
      </c>
    </row>
    <row r="9">
      <c r="A9" s="8" t="s">
        <v>313</v>
      </c>
      <c r="B9" s="8">
        <v>75.0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259.0</v>
      </c>
    </row>
    <row r="10">
      <c r="A10" s="8" t="s">
        <v>314</v>
      </c>
      <c r="B10" s="8">
        <v>88.0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261.0</v>
      </c>
    </row>
    <row r="11">
      <c r="A11" s="8" t="s">
        <v>315</v>
      </c>
      <c r="B11" s="8">
        <v>109.0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261.0</v>
      </c>
    </row>
    <row r="12">
      <c r="A12" s="8" t="s">
        <v>316</v>
      </c>
      <c r="B12" s="8">
        <v>160.0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1.0</v>
      </c>
      <c r="I12" s="1">
        <v>261.0</v>
      </c>
    </row>
    <row r="13">
      <c r="A13" s="8" t="s">
        <v>317</v>
      </c>
      <c r="B13" s="8">
        <v>172.0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261.0</v>
      </c>
    </row>
    <row r="14">
      <c r="A14" s="8" t="s">
        <v>318</v>
      </c>
      <c r="B14" s="1">
        <f t="shared" ref="B14:B16" si="1">A14-1</f>
        <v>33533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335.0</v>
      </c>
    </row>
    <row r="15">
      <c r="A15" s="8" t="s">
        <v>319</v>
      </c>
      <c r="B15" s="1">
        <f t="shared" si="1"/>
        <v>33536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335.0</v>
      </c>
    </row>
    <row r="16">
      <c r="A16" s="8" t="s">
        <v>320</v>
      </c>
      <c r="B16" s="1">
        <f t="shared" si="1"/>
        <v>335169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335.0</v>
      </c>
      <c r="J16" s="4"/>
      <c r="K16" s="4"/>
      <c r="L16" s="4"/>
      <c r="M16" s="4"/>
      <c r="N16" s="4"/>
      <c r="O16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4" t="s">
        <v>82</v>
      </c>
      <c r="B2" s="4"/>
      <c r="C2" s="4" t="s">
        <v>260</v>
      </c>
      <c r="D2" s="4"/>
      <c r="E2" s="4" t="s">
        <v>260</v>
      </c>
      <c r="F2" s="4"/>
      <c r="G2" s="4"/>
      <c r="H2" s="4"/>
      <c r="I2" s="4"/>
      <c r="J2" s="4"/>
      <c r="K2" s="4"/>
    </row>
    <row r="3">
      <c r="A3" s="4" t="s">
        <v>261</v>
      </c>
      <c r="B3" s="4" t="s">
        <v>262</v>
      </c>
      <c r="C3" s="4" t="s">
        <v>321</v>
      </c>
      <c r="D3" s="4" t="s">
        <v>306</v>
      </c>
      <c r="E3" s="4" t="s">
        <v>322</v>
      </c>
      <c r="F3" s="4" t="s">
        <v>267</v>
      </c>
      <c r="G3" s="4" t="s">
        <v>268</v>
      </c>
      <c r="H3" s="4" t="s">
        <v>269</v>
      </c>
      <c r="I3" s="4" t="s">
        <v>270</v>
      </c>
      <c r="J3" s="4" t="s">
        <v>271</v>
      </c>
      <c r="K3" s="4" t="s">
        <v>323</v>
      </c>
      <c r="M3" s="15">
        <v>88.0</v>
      </c>
    </row>
    <row r="4" hidden="1">
      <c r="A4" s="1">
        <v>3.0</v>
      </c>
      <c r="B4" s="11">
        <v>0.06944444444444445</v>
      </c>
      <c r="C4" s="1">
        <v>196.0</v>
      </c>
      <c r="D4" s="1">
        <v>259.0</v>
      </c>
      <c r="E4" s="1">
        <v>6.0</v>
      </c>
      <c r="F4" s="1" t="s">
        <v>324</v>
      </c>
      <c r="G4" s="1" t="s">
        <v>273</v>
      </c>
      <c r="H4" s="1" t="s">
        <v>283</v>
      </c>
      <c r="I4" s="1">
        <v>202.0</v>
      </c>
      <c r="J4" s="1">
        <v>54.0</v>
      </c>
      <c r="K4" s="1">
        <v>16.0</v>
      </c>
      <c r="M4" s="15">
        <v>160.0</v>
      </c>
    </row>
    <row r="5" hidden="1">
      <c r="A5" s="1">
        <v>4.0</v>
      </c>
      <c r="B5" s="11">
        <v>0.09166666666666666</v>
      </c>
      <c r="C5" s="1">
        <v>210.0</v>
      </c>
      <c r="D5" s="1">
        <v>259.0</v>
      </c>
      <c r="E5" s="1">
        <v>6.0</v>
      </c>
      <c r="F5" s="1" t="b">
        <v>0</v>
      </c>
      <c r="G5" s="1" t="s">
        <v>325</v>
      </c>
      <c r="H5" s="1" t="s">
        <v>283</v>
      </c>
      <c r="I5" s="1">
        <v>66.0</v>
      </c>
      <c r="J5" s="1">
        <v>194.0</v>
      </c>
      <c r="K5" s="1"/>
      <c r="M5" s="15">
        <v>172.0</v>
      </c>
    </row>
    <row r="6" hidden="1">
      <c r="A6" s="1">
        <v>7.0</v>
      </c>
      <c r="B6" s="11">
        <v>0.15138888888888888</v>
      </c>
      <c r="C6" s="1">
        <v>34.0</v>
      </c>
      <c r="D6" s="1">
        <v>259.0</v>
      </c>
      <c r="E6" s="1">
        <v>6.0</v>
      </c>
      <c r="F6" s="1" t="s">
        <v>324</v>
      </c>
      <c r="G6" s="1" t="s">
        <v>326</v>
      </c>
      <c r="H6" s="1" t="s">
        <v>274</v>
      </c>
      <c r="I6" s="1">
        <v>101.0</v>
      </c>
      <c r="J6" s="1">
        <v>109.0</v>
      </c>
      <c r="K6" s="1">
        <v>212.0</v>
      </c>
    </row>
    <row r="7" hidden="1">
      <c r="A7" s="1">
        <v>9.0</v>
      </c>
      <c r="B7" s="11">
        <v>0.18125</v>
      </c>
      <c r="C7" s="1">
        <v>142.0</v>
      </c>
      <c r="D7" s="1">
        <v>259.0</v>
      </c>
      <c r="E7" s="1">
        <v>6.0</v>
      </c>
      <c r="F7" s="1" t="b">
        <v>0</v>
      </c>
      <c r="G7" s="1" t="s">
        <v>288</v>
      </c>
      <c r="H7" s="1" t="s">
        <v>283</v>
      </c>
      <c r="I7" s="1">
        <v>136.0</v>
      </c>
      <c r="J7" s="1">
        <v>193.0</v>
      </c>
      <c r="K7" s="1"/>
    </row>
    <row r="8" hidden="1">
      <c r="A8" s="1">
        <v>10.0</v>
      </c>
      <c r="B8" s="11">
        <v>0.2076388888888889</v>
      </c>
      <c r="C8" s="1">
        <v>255.0</v>
      </c>
      <c r="D8" s="1">
        <v>259.0</v>
      </c>
      <c r="E8" s="1">
        <v>155.0</v>
      </c>
      <c r="F8" s="1" t="s">
        <v>324</v>
      </c>
      <c r="G8" s="1" t="s">
        <v>273</v>
      </c>
      <c r="H8" s="1" t="s">
        <v>274</v>
      </c>
      <c r="I8" s="1">
        <v>399.0</v>
      </c>
      <c r="J8" s="1">
        <v>268.0</v>
      </c>
      <c r="K8" s="1">
        <v>2.0</v>
      </c>
    </row>
    <row r="9" hidden="1">
      <c r="A9" s="1">
        <v>14.0</v>
      </c>
      <c r="B9" s="11">
        <v>0.23402777777777778</v>
      </c>
      <c r="C9" s="1">
        <v>196.0</v>
      </c>
      <c r="D9" s="1">
        <v>259.0</v>
      </c>
      <c r="E9" s="1">
        <v>6.0</v>
      </c>
      <c r="F9" s="1" t="b">
        <v>0</v>
      </c>
      <c r="G9" s="1" t="s">
        <v>325</v>
      </c>
      <c r="H9" s="1" t="s">
        <v>283</v>
      </c>
      <c r="I9" s="1">
        <v>174.0</v>
      </c>
      <c r="J9" s="1">
        <v>202.0</v>
      </c>
      <c r="K9" s="1"/>
    </row>
    <row r="10" hidden="1">
      <c r="A10" s="1">
        <v>16.0</v>
      </c>
      <c r="B10" s="11">
        <v>0.2638888888888889</v>
      </c>
      <c r="C10" s="1">
        <v>34.0</v>
      </c>
      <c r="D10" s="1">
        <v>259.0</v>
      </c>
      <c r="E10" s="1">
        <v>6.0</v>
      </c>
      <c r="F10" s="1" t="s">
        <v>324</v>
      </c>
      <c r="G10" s="1" t="s">
        <v>273</v>
      </c>
      <c r="H10" s="1" t="s">
        <v>274</v>
      </c>
      <c r="I10" s="1">
        <v>175.0</v>
      </c>
      <c r="J10" s="1">
        <v>143.0</v>
      </c>
      <c r="K10" s="1">
        <v>149.0</v>
      </c>
    </row>
    <row r="11" hidden="1">
      <c r="A11" s="1">
        <v>17.0</v>
      </c>
      <c r="B11" s="11">
        <v>0.2708333333333333</v>
      </c>
      <c r="C11" s="1">
        <v>138.0</v>
      </c>
      <c r="D11" s="1">
        <v>259.0</v>
      </c>
      <c r="E11" s="1">
        <v>6.0</v>
      </c>
      <c r="F11" s="1" t="s">
        <v>324</v>
      </c>
      <c r="G11" s="1" t="s">
        <v>326</v>
      </c>
      <c r="H11" s="1" t="s">
        <v>274</v>
      </c>
      <c r="I11" s="1">
        <v>129.0</v>
      </c>
      <c r="J11" s="1">
        <v>86.0</v>
      </c>
      <c r="K11" s="1">
        <v>212.0</v>
      </c>
    </row>
    <row r="12" hidden="1">
      <c r="A12" s="1">
        <v>18.0</v>
      </c>
      <c r="B12" s="11">
        <v>0.2722222222222222</v>
      </c>
      <c r="C12" s="1">
        <v>203.0</v>
      </c>
      <c r="D12" s="1">
        <v>259.0</v>
      </c>
      <c r="E12" s="1">
        <v>6.0</v>
      </c>
      <c r="F12" s="1" t="s">
        <v>324</v>
      </c>
      <c r="G12" s="1" t="s">
        <v>273</v>
      </c>
      <c r="H12" s="1" t="s">
        <v>283</v>
      </c>
      <c r="I12" s="1">
        <v>141.0</v>
      </c>
      <c r="J12" s="1">
        <v>53.0</v>
      </c>
      <c r="K12" s="1">
        <v>97.0</v>
      </c>
    </row>
    <row r="13" hidden="1">
      <c r="A13" s="1">
        <v>19.0</v>
      </c>
      <c r="B13" s="11">
        <v>0.28125</v>
      </c>
      <c r="C13" s="1">
        <v>13.0</v>
      </c>
      <c r="D13" s="1">
        <v>259.0</v>
      </c>
      <c r="E13" s="1">
        <v>6.0</v>
      </c>
      <c r="F13" s="1" t="s">
        <v>324</v>
      </c>
      <c r="G13" s="1" t="s">
        <v>326</v>
      </c>
      <c r="H13" s="1" t="s">
        <v>274</v>
      </c>
      <c r="I13" s="1">
        <v>63.0</v>
      </c>
      <c r="J13" s="1">
        <v>159.0</v>
      </c>
      <c r="K13" s="1">
        <v>52.0</v>
      </c>
    </row>
    <row r="14" hidden="1">
      <c r="A14" s="1">
        <v>20.0</v>
      </c>
      <c r="B14" s="11">
        <v>0.2861111111111111</v>
      </c>
      <c r="C14" s="1">
        <v>34.0</v>
      </c>
      <c r="D14" s="1">
        <v>259.0</v>
      </c>
      <c r="E14" s="1">
        <v>6.0</v>
      </c>
      <c r="F14" s="1" t="b">
        <v>0</v>
      </c>
      <c r="G14" s="1" t="s">
        <v>325</v>
      </c>
      <c r="H14" s="1" t="s">
        <v>327</v>
      </c>
      <c r="I14" s="1">
        <v>156.0</v>
      </c>
      <c r="J14" s="1">
        <v>245.0</v>
      </c>
      <c r="K14" s="1"/>
    </row>
    <row r="15" hidden="1">
      <c r="A15" s="1">
        <v>21.0</v>
      </c>
      <c r="B15" s="11">
        <v>0.28680555555555554</v>
      </c>
      <c r="C15" s="1">
        <v>34.0</v>
      </c>
      <c r="D15" s="1">
        <v>259.0</v>
      </c>
      <c r="E15" s="1">
        <v>6.0</v>
      </c>
      <c r="F15" s="1" t="b">
        <v>0</v>
      </c>
      <c r="G15" s="1" t="s">
        <v>325</v>
      </c>
      <c r="H15" s="1" t="s">
        <v>327</v>
      </c>
      <c r="I15" s="1">
        <v>167.0</v>
      </c>
      <c r="J15" s="1">
        <v>262.0</v>
      </c>
      <c r="K15" s="1"/>
    </row>
    <row r="16" hidden="1">
      <c r="A16" s="1">
        <v>27.0</v>
      </c>
      <c r="B16" s="11">
        <v>0.37916666666666665</v>
      </c>
      <c r="C16" s="1">
        <v>36.0</v>
      </c>
      <c r="D16" s="1">
        <v>259.0</v>
      </c>
      <c r="E16" s="1">
        <v>6.0</v>
      </c>
      <c r="F16" s="1" t="b">
        <v>0</v>
      </c>
      <c r="G16" s="1" t="s">
        <v>288</v>
      </c>
      <c r="H16" s="1" t="s">
        <v>274</v>
      </c>
      <c r="I16" s="1">
        <v>83.0</v>
      </c>
      <c r="J16" s="1">
        <v>111.0</v>
      </c>
      <c r="K16" s="1"/>
    </row>
    <row r="17" hidden="1">
      <c r="A17" s="1">
        <v>28.0</v>
      </c>
      <c r="B17" s="11">
        <v>0.4152777777777778</v>
      </c>
      <c r="C17" s="1">
        <v>97.0</v>
      </c>
      <c r="D17" s="1">
        <v>259.0</v>
      </c>
      <c r="E17" s="1">
        <v>155.0</v>
      </c>
      <c r="F17" s="1" t="s">
        <v>324</v>
      </c>
      <c r="G17" s="1" t="s">
        <v>273</v>
      </c>
      <c r="H17" s="1" t="s">
        <v>274</v>
      </c>
      <c r="I17" s="1">
        <v>424.0</v>
      </c>
      <c r="J17" s="1">
        <v>65.0</v>
      </c>
      <c r="K17" s="1">
        <v>62.0</v>
      </c>
    </row>
    <row r="18" hidden="1">
      <c r="A18" s="1">
        <v>31.0</v>
      </c>
      <c r="B18" s="11">
        <v>0.45694444444444443</v>
      </c>
      <c r="C18" s="1">
        <v>78.0</v>
      </c>
      <c r="D18" s="1">
        <v>259.0</v>
      </c>
      <c r="E18" s="1">
        <v>155.0</v>
      </c>
      <c r="F18" s="1" t="b">
        <v>0</v>
      </c>
      <c r="G18" s="1" t="s">
        <v>325</v>
      </c>
      <c r="H18" s="1" t="s">
        <v>327</v>
      </c>
      <c r="I18" s="1">
        <v>471.0</v>
      </c>
      <c r="J18" s="1">
        <v>69.0</v>
      </c>
      <c r="K18" s="1"/>
    </row>
    <row r="19" hidden="1">
      <c r="A19" s="1">
        <v>36.0</v>
      </c>
      <c r="B19" s="11">
        <v>0.5194444444444445</v>
      </c>
      <c r="C19" s="1">
        <v>12.0</v>
      </c>
      <c r="D19" s="1">
        <v>259.0</v>
      </c>
      <c r="E19" s="1">
        <v>155.0</v>
      </c>
      <c r="F19" s="1" t="b">
        <v>1</v>
      </c>
      <c r="G19" s="1" t="s">
        <v>276</v>
      </c>
      <c r="H19" s="1" t="s">
        <v>277</v>
      </c>
      <c r="I19" s="1">
        <v>423.0</v>
      </c>
      <c r="J19" s="1">
        <v>203.0</v>
      </c>
      <c r="K19" s="1"/>
    </row>
    <row r="20" hidden="1">
      <c r="A20" s="1">
        <v>40.0</v>
      </c>
      <c r="B20" s="11">
        <v>0.5715277777777777</v>
      </c>
      <c r="C20" s="1">
        <v>78.0</v>
      </c>
      <c r="D20" s="1">
        <v>259.0</v>
      </c>
      <c r="E20" s="1">
        <v>155.0</v>
      </c>
      <c r="F20" s="1" t="b">
        <v>0</v>
      </c>
      <c r="G20" s="1" t="s">
        <v>325</v>
      </c>
      <c r="H20" s="1" t="s">
        <v>327</v>
      </c>
      <c r="I20" s="1">
        <v>487.0</v>
      </c>
      <c r="J20" s="1">
        <v>45.0</v>
      </c>
      <c r="K20" s="1"/>
    </row>
    <row r="21" hidden="1">
      <c r="A21" s="1">
        <v>41.0</v>
      </c>
      <c r="B21" s="11">
        <v>0.5763888888888888</v>
      </c>
      <c r="C21" s="1">
        <v>12.0</v>
      </c>
      <c r="D21" s="1">
        <v>259.0</v>
      </c>
      <c r="E21" s="1">
        <v>155.0</v>
      </c>
      <c r="F21" s="1" t="s">
        <v>324</v>
      </c>
      <c r="G21" s="1" t="s">
        <v>273</v>
      </c>
      <c r="H21" s="1" t="s">
        <v>277</v>
      </c>
      <c r="I21" s="1">
        <v>434.0</v>
      </c>
      <c r="J21" s="1">
        <v>217.0</v>
      </c>
      <c r="K21" s="1">
        <v>99.0</v>
      </c>
    </row>
    <row r="22" hidden="1">
      <c r="A22" s="1">
        <v>43.0</v>
      </c>
      <c r="B22" s="11">
        <v>0.5833333333333334</v>
      </c>
      <c r="C22" s="1">
        <v>246.0</v>
      </c>
      <c r="D22" s="1">
        <v>259.0</v>
      </c>
      <c r="E22" s="1">
        <v>155.0</v>
      </c>
      <c r="F22" s="1" t="s">
        <v>324</v>
      </c>
      <c r="G22" s="1" t="s">
        <v>273</v>
      </c>
      <c r="H22" s="1" t="s">
        <v>274</v>
      </c>
      <c r="I22" s="1">
        <v>389.0</v>
      </c>
      <c r="J22" s="1">
        <v>173.0</v>
      </c>
      <c r="K22" s="1">
        <v>49.0</v>
      </c>
    </row>
    <row r="23" hidden="1">
      <c r="A23" s="1">
        <v>44.0</v>
      </c>
      <c r="B23" s="11">
        <v>0.6194444444444445</v>
      </c>
      <c r="C23" s="1">
        <v>203.0</v>
      </c>
      <c r="D23" s="1">
        <v>259.0</v>
      </c>
      <c r="E23" s="1">
        <v>6.0</v>
      </c>
      <c r="F23" s="1" t="b">
        <v>0</v>
      </c>
      <c r="G23" s="1" t="s">
        <v>325</v>
      </c>
      <c r="H23" s="1" t="s">
        <v>283</v>
      </c>
      <c r="I23" s="1">
        <v>202.0</v>
      </c>
      <c r="J23" s="1">
        <v>273.0</v>
      </c>
      <c r="K23" s="1"/>
    </row>
    <row r="24" hidden="1">
      <c r="A24" s="1">
        <v>47.0</v>
      </c>
      <c r="B24" s="11">
        <v>0.6416666666666667</v>
      </c>
      <c r="C24" s="1">
        <v>224.0</v>
      </c>
      <c r="D24" s="1">
        <v>259.0</v>
      </c>
      <c r="E24" s="1">
        <v>6.0</v>
      </c>
      <c r="F24" s="1" t="b">
        <v>0</v>
      </c>
      <c r="G24" s="1" t="s">
        <v>288</v>
      </c>
      <c r="H24" s="1" t="s">
        <v>286</v>
      </c>
      <c r="I24" s="1">
        <v>62.0</v>
      </c>
      <c r="J24" s="1">
        <v>151.0</v>
      </c>
      <c r="K24" s="1"/>
    </row>
    <row r="25" hidden="1">
      <c r="A25" s="1">
        <v>49.0</v>
      </c>
      <c r="B25" s="11">
        <v>0.6645833333333333</v>
      </c>
      <c r="C25" s="1">
        <v>259.0</v>
      </c>
      <c r="D25" s="1">
        <v>259.0</v>
      </c>
      <c r="E25" s="1">
        <v>155.0</v>
      </c>
      <c r="F25" s="1" t="b">
        <v>0</v>
      </c>
      <c r="G25" s="1" t="s">
        <v>325</v>
      </c>
      <c r="H25" s="1" t="s">
        <v>283</v>
      </c>
      <c r="I25" s="1">
        <v>442.0</v>
      </c>
      <c r="J25" s="1">
        <v>221.0</v>
      </c>
      <c r="K25" s="1"/>
    </row>
    <row r="26" hidden="1">
      <c r="A26" s="1">
        <v>51.0</v>
      </c>
      <c r="B26" s="11">
        <v>0.6923611111111111</v>
      </c>
      <c r="C26" s="1">
        <v>2.0</v>
      </c>
      <c r="D26" s="1">
        <v>259.0</v>
      </c>
      <c r="E26" s="1">
        <v>6.0</v>
      </c>
      <c r="F26" s="1" t="b">
        <v>0</v>
      </c>
      <c r="G26" s="1" t="s">
        <v>325</v>
      </c>
      <c r="H26" s="1" t="s">
        <v>283</v>
      </c>
      <c r="I26" s="1">
        <v>183.0</v>
      </c>
      <c r="J26" s="1">
        <v>60.0</v>
      </c>
      <c r="K26" s="1"/>
    </row>
    <row r="27" hidden="1">
      <c r="A27" s="1">
        <v>54.0</v>
      </c>
      <c r="B27" s="11">
        <v>0.7152777777777778</v>
      </c>
      <c r="C27" s="1">
        <v>181.0</v>
      </c>
      <c r="D27" s="1">
        <v>259.0</v>
      </c>
      <c r="E27" s="1">
        <v>6.0</v>
      </c>
      <c r="F27" s="1" t="s">
        <v>324</v>
      </c>
      <c r="G27" s="1" t="s">
        <v>326</v>
      </c>
      <c r="H27" s="1" t="s">
        <v>274</v>
      </c>
      <c r="I27" s="1">
        <v>111.0</v>
      </c>
      <c r="J27" s="1">
        <v>85.0</v>
      </c>
      <c r="K27" s="1">
        <v>149.0</v>
      </c>
    </row>
    <row r="28" hidden="1">
      <c r="A28" s="1">
        <v>55.0</v>
      </c>
      <c r="B28" s="11">
        <v>0.7194444444444444</v>
      </c>
      <c r="C28" s="1">
        <v>181.0</v>
      </c>
      <c r="D28" s="1">
        <v>259.0</v>
      </c>
      <c r="E28" s="1">
        <v>6.0</v>
      </c>
      <c r="F28" s="1" t="b">
        <v>0</v>
      </c>
      <c r="G28" s="1" t="s">
        <v>325</v>
      </c>
      <c r="H28" s="1" t="s">
        <v>277</v>
      </c>
      <c r="I28" s="1">
        <v>49.0</v>
      </c>
      <c r="J28" s="1">
        <v>83.0</v>
      </c>
      <c r="K28" s="1"/>
    </row>
    <row r="29" hidden="1">
      <c r="A29" s="1">
        <v>57.0</v>
      </c>
      <c r="B29" s="11">
        <v>0.7736111111111111</v>
      </c>
      <c r="C29" s="1">
        <v>210.0</v>
      </c>
      <c r="D29" s="1">
        <v>259.0</v>
      </c>
      <c r="E29" s="1">
        <v>6.0</v>
      </c>
      <c r="F29" s="1" t="b">
        <v>0</v>
      </c>
      <c r="G29" s="1" t="s">
        <v>325</v>
      </c>
      <c r="H29" s="1" t="s">
        <v>283</v>
      </c>
      <c r="I29" s="1">
        <v>63.0</v>
      </c>
      <c r="J29" s="1">
        <v>56.0</v>
      </c>
      <c r="K29" s="1"/>
    </row>
    <row r="30" hidden="1">
      <c r="A30" s="1">
        <v>59.0</v>
      </c>
      <c r="B30" s="11">
        <v>0.80625</v>
      </c>
      <c r="C30" s="1">
        <v>16.0</v>
      </c>
      <c r="D30" s="1">
        <v>259.0</v>
      </c>
      <c r="E30" s="1">
        <v>155.0</v>
      </c>
      <c r="F30" s="1" t="s">
        <v>324</v>
      </c>
      <c r="G30" s="1" t="s">
        <v>273</v>
      </c>
      <c r="H30" s="1" t="s">
        <v>283</v>
      </c>
      <c r="I30" s="1">
        <v>429.0</v>
      </c>
      <c r="J30" s="1">
        <v>62.0</v>
      </c>
      <c r="K30" s="1">
        <v>99.0</v>
      </c>
    </row>
    <row r="31" hidden="1">
      <c r="A31" s="1">
        <v>62.0</v>
      </c>
      <c r="B31" s="11">
        <v>0.02361111111111111</v>
      </c>
      <c r="C31" s="1">
        <v>203.0</v>
      </c>
      <c r="D31" s="1">
        <v>259.0</v>
      </c>
      <c r="E31" s="1">
        <v>6.0</v>
      </c>
      <c r="F31" s="1" t="s">
        <v>324</v>
      </c>
      <c r="G31" s="1" t="s">
        <v>273</v>
      </c>
      <c r="H31" s="1" t="s">
        <v>283</v>
      </c>
      <c r="I31" s="1">
        <v>219.0</v>
      </c>
      <c r="J31" s="1">
        <v>238.0</v>
      </c>
      <c r="K31" s="1">
        <v>15.0</v>
      </c>
    </row>
    <row r="32" hidden="1">
      <c r="A32" s="1">
        <v>63.0</v>
      </c>
      <c r="B32" s="11">
        <v>0.07916666666666666</v>
      </c>
      <c r="C32" s="1">
        <v>99.0</v>
      </c>
      <c r="D32" s="1">
        <v>259.0</v>
      </c>
      <c r="E32" s="1">
        <v>6.0</v>
      </c>
      <c r="F32" s="1" t="s">
        <v>324</v>
      </c>
      <c r="G32" s="1" t="s">
        <v>273</v>
      </c>
      <c r="H32" s="1" t="s">
        <v>283</v>
      </c>
      <c r="I32" s="1">
        <v>201.0</v>
      </c>
      <c r="J32" s="1">
        <v>234.0</v>
      </c>
      <c r="K32" s="1">
        <v>246.0</v>
      </c>
    </row>
    <row r="33" hidden="1">
      <c r="A33" s="1">
        <v>64.0</v>
      </c>
      <c r="B33" s="11">
        <v>0.08263888888888889</v>
      </c>
      <c r="C33" s="1">
        <v>210.0</v>
      </c>
      <c r="D33" s="1">
        <v>259.0</v>
      </c>
      <c r="E33" s="1">
        <v>6.0</v>
      </c>
      <c r="F33" s="1" t="b">
        <v>0</v>
      </c>
      <c r="G33" s="1" t="s">
        <v>288</v>
      </c>
      <c r="H33" s="1" t="s">
        <v>286</v>
      </c>
      <c r="I33" s="1">
        <v>95.0</v>
      </c>
      <c r="J33" s="1">
        <v>138.0</v>
      </c>
      <c r="K33" s="1"/>
    </row>
    <row r="34" hidden="1">
      <c r="A34" s="1">
        <v>65.0</v>
      </c>
      <c r="B34" s="11">
        <v>0.09583333333333334</v>
      </c>
      <c r="C34" s="1">
        <v>210.0</v>
      </c>
      <c r="D34" s="1">
        <v>259.0</v>
      </c>
      <c r="E34" s="1">
        <v>6.0</v>
      </c>
      <c r="F34" s="1" t="b">
        <v>0</v>
      </c>
      <c r="G34" s="1" t="s">
        <v>325</v>
      </c>
      <c r="H34" s="1" t="s">
        <v>283</v>
      </c>
      <c r="I34" s="1">
        <v>163.0</v>
      </c>
      <c r="J34" s="1">
        <v>83.0</v>
      </c>
      <c r="K34" s="1"/>
    </row>
    <row r="35" hidden="1">
      <c r="A35" s="1">
        <v>68.0</v>
      </c>
      <c r="B35" s="11">
        <v>0.15347222222222223</v>
      </c>
      <c r="C35" s="1">
        <v>17.0</v>
      </c>
      <c r="D35" s="1">
        <v>259.0</v>
      </c>
      <c r="E35" s="1">
        <v>155.0</v>
      </c>
      <c r="F35" s="1" t="b">
        <v>0</v>
      </c>
      <c r="G35" s="1" t="s">
        <v>288</v>
      </c>
      <c r="H35" s="1" t="s">
        <v>274</v>
      </c>
      <c r="I35" s="1">
        <v>542.0</v>
      </c>
      <c r="J35" s="1">
        <v>140.0</v>
      </c>
      <c r="K35" s="1"/>
    </row>
    <row r="36" hidden="1">
      <c r="A36" s="1">
        <v>69.0</v>
      </c>
      <c r="B36" s="11">
        <v>0.15694444444444444</v>
      </c>
      <c r="C36" s="1">
        <v>17.0</v>
      </c>
      <c r="D36" s="1">
        <v>259.0</v>
      </c>
      <c r="E36" s="1">
        <v>155.0</v>
      </c>
      <c r="F36" s="1" t="b">
        <v>0</v>
      </c>
      <c r="G36" s="1" t="s">
        <v>288</v>
      </c>
      <c r="H36" s="1" t="s">
        <v>286</v>
      </c>
      <c r="I36" s="1">
        <v>483.0</v>
      </c>
      <c r="J36" s="1">
        <v>153.0</v>
      </c>
      <c r="K36" s="1"/>
    </row>
    <row r="37" hidden="1">
      <c r="A37" s="1">
        <v>70.0</v>
      </c>
      <c r="B37" s="11">
        <v>0.1597222222222222</v>
      </c>
      <c r="C37" s="1">
        <v>246.0</v>
      </c>
      <c r="D37" s="1">
        <v>259.0</v>
      </c>
      <c r="E37" s="1">
        <v>155.0</v>
      </c>
      <c r="F37" s="1" t="b">
        <v>0</v>
      </c>
      <c r="G37" s="1" t="s">
        <v>288</v>
      </c>
      <c r="H37" s="1" t="s">
        <v>283</v>
      </c>
      <c r="I37" s="1">
        <v>495.0</v>
      </c>
      <c r="J37" s="1">
        <v>103.0</v>
      </c>
      <c r="K37" s="1"/>
    </row>
    <row r="38" hidden="1">
      <c r="A38" s="1">
        <v>72.0</v>
      </c>
      <c r="B38" s="11">
        <v>0.19722222222222222</v>
      </c>
      <c r="C38" s="1">
        <v>203.0</v>
      </c>
      <c r="D38" s="1">
        <v>259.0</v>
      </c>
      <c r="E38" s="1">
        <v>6.0</v>
      </c>
      <c r="F38" s="1" t="s">
        <v>324</v>
      </c>
      <c r="G38" s="1" t="s">
        <v>273</v>
      </c>
      <c r="H38" s="1" t="s">
        <v>283</v>
      </c>
      <c r="I38" s="1">
        <v>216.0</v>
      </c>
      <c r="J38" s="1">
        <v>111.0</v>
      </c>
      <c r="K38" s="1">
        <v>52.0</v>
      </c>
    </row>
    <row r="39" hidden="1">
      <c r="A39" s="1">
        <v>75.0</v>
      </c>
      <c r="B39" s="11">
        <v>0.24097222222222223</v>
      </c>
      <c r="C39" s="1">
        <v>210.0</v>
      </c>
      <c r="D39" s="1">
        <v>259.0</v>
      </c>
      <c r="E39" s="1">
        <v>6.0</v>
      </c>
      <c r="F39" s="1" t="b">
        <v>1</v>
      </c>
      <c r="G39" s="1" t="s">
        <v>276</v>
      </c>
      <c r="H39" s="1" t="s">
        <v>277</v>
      </c>
      <c r="I39" s="1">
        <v>81.0</v>
      </c>
      <c r="J39" s="1">
        <v>67.0</v>
      </c>
      <c r="K39" s="1"/>
    </row>
    <row r="40" hidden="1">
      <c r="A40" s="1">
        <v>81.0</v>
      </c>
      <c r="B40" s="11">
        <v>0.3645833333333333</v>
      </c>
      <c r="C40" s="1">
        <v>237.0</v>
      </c>
      <c r="D40" s="1">
        <v>259.0</v>
      </c>
      <c r="E40" s="1">
        <v>6.0</v>
      </c>
      <c r="F40" s="1" t="s">
        <v>324</v>
      </c>
      <c r="G40" s="1" t="s">
        <v>273</v>
      </c>
      <c r="H40" s="1" t="s">
        <v>283</v>
      </c>
      <c r="I40" s="1">
        <v>53.0</v>
      </c>
      <c r="J40" s="1">
        <v>105.0</v>
      </c>
      <c r="K40" s="1">
        <v>246.0</v>
      </c>
    </row>
    <row r="41" hidden="1">
      <c r="A41" s="1">
        <v>82.0</v>
      </c>
      <c r="B41" s="11">
        <v>0.3701388888888889</v>
      </c>
      <c r="C41" s="1">
        <v>208.0</v>
      </c>
      <c r="D41" s="1">
        <v>259.0</v>
      </c>
      <c r="E41" s="1">
        <v>6.0</v>
      </c>
      <c r="F41" s="1" t="s">
        <v>324</v>
      </c>
      <c r="G41" s="1" t="s">
        <v>326</v>
      </c>
      <c r="H41" s="1" t="s">
        <v>283</v>
      </c>
      <c r="I41" s="1">
        <v>104.0</v>
      </c>
      <c r="J41" s="1">
        <v>183.0</v>
      </c>
      <c r="K41" s="1">
        <v>183.0</v>
      </c>
    </row>
    <row r="42" hidden="1">
      <c r="A42" s="1">
        <v>83.0</v>
      </c>
      <c r="B42" s="11">
        <v>0.3798611111111111</v>
      </c>
      <c r="C42" s="1">
        <v>208.0</v>
      </c>
      <c r="D42" s="1">
        <v>259.0</v>
      </c>
      <c r="E42" s="1">
        <v>6.0</v>
      </c>
      <c r="F42" s="1" t="b">
        <v>0</v>
      </c>
      <c r="G42" s="1" t="s">
        <v>325</v>
      </c>
      <c r="H42" s="1" t="s">
        <v>283</v>
      </c>
      <c r="I42" s="1">
        <v>183.0</v>
      </c>
      <c r="J42" s="1">
        <v>255.0</v>
      </c>
      <c r="K42" s="1"/>
    </row>
    <row r="43">
      <c r="A43" s="1">
        <v>88.0</v>
      </c>
      <c r="B43" s="11">
        <v>0.4708333333333333</v>
      </c>
      <c r="C43" s="1">
        <v>255.0</v>
      </c>
      <c r="D43" s="1">
        <v>259.0</v>
      </c>
      <c r="E43" s="1">
        <v>155.0</v>
      </c>
      <c r="F43" s="1" t="b">
        <v>0</v>
      </c>
      <c r="G43" s="1" t="s">
        <v>325</v>
      </c>
      <c r="H43" s="1" t="s">
        <v>283</v>
      </c>
      <c r="I43" s="1">
        <v>331.0</v>
      </c>
      <c r="J43" s="1">
        <v>285.0</v>
      </c>
      <c r="K43" s="1"/>
    </row>
    <row r="44" hidden="1">
      <c r="A44" s="1">
        <v>90.0</v>
      </c>
      <c r="B44" s="11">
        <v>0.4875</v>
      </c>
      <c r="C44" s="1">
        <v>13.0</v>
      </c>
      <c r="D44" s="1">
        <v>259.0</v>
      </c>
      <c r="E44" s="1">
        <v>6.0</v>
      </c>
      <c r="F44" s="1" t="b">
        <v>0</v>
      </c>
      <c r="G44" s="1" t="s">
        <v>325</v>
      </c>
      <c r="H44" s="1" t="s">
        <v>283</v>
      </c>
      <c r="I44" s="1">
        <v>184.0</v>
      </c>
      <c r="J44" s="1">
        <v>262.0</v>
      </c>
      <c r="K44" s="1"/>
    </row>
    <row r="45" hidden="1">
      <c r="A45" s="1">
        <v>92.0</v>
      </c>
      <c r="B45" s="11">
        <v>0.5069444444444444</v>
      </c>
      <c r="C45" s="1">
        <v>36.0</v>
      </c>
      <c r="D45" s="1">
        <v>259.0</v>
      </c>
      <c r="E45" s="1">
        <v>6.0</v>
      </c>
      <c r="F45" s="1" t="s">
        <v>324</v>
      </c>
      <c r="G45" s="1" t="s">
        <v>273</v>
      </c>
      <c r="H45" s="1" t="s">
        <v>277</v>
      </c>
      <c r="I45" s="1">
        <v>213.0</v>
      </c>
      <c r="J45" s="1">
        <v>270.0</v>
      </c>
      <c r="K45" s="1">
        <v>183.0</v>
      </c>
    </row>
    <row r="46" hidden="1">
      <c r="A46" s="1">
        <v>95.0</v>
      </c>
      <c r="B46" s="11">
        <v>0.5576388888888889</v>
      </c>
      <c r="C46" s="1">
        <v>182.0</v>
      </c>
      <c r="D46" s="1">
        <v>259.0</v>
      </c>
      <c r="E46" s="1">
        <v>155.0</v>
      </c>
      <c r="F46" s="1" t="s">
        <v>324</v>
      </c>
      <c r="G46" s="1" t="s">
        <v>273</v>
      </c>
      <c r="H46" s="1" t="s">
        <v>283</v>
      </c>
      <c r="I46" s="1">
        <v>419.0</v>
      </c>
      <c r="J46" s="1">
        <v>264.0</v>
      </c>
      <c r="K46" s="1">
        <v>2.0</v>
      </c>
    </row>
    <row r="47" hidden="1">
      <c r="A47" s="1">
        <v>96.0</v>
      </c>
      <c r="B47" s="11">
        <v>0.5923611111111111</v>
      </c>
      <c r="C47" s="1">
        <v>196.0</v>
      </c>
      <c r="D47" s="1">
        <v>259.0</v>
      </c>
      <c r="E47" s="1">
        <v>6.0</v>
      </c>
      <c r="F47" s="1" t="b">
        <v>0</v>
      </c>
      <c r="G47" s="1" t="s">
        <v>325</v>
      </c>
      <c r="H47" s="1" t="s">
        <v>286</v>
      </c>
      <c r="I47" s="1">
        <v>35.0</v>
      </c>
      <c r="J47" s="1">
        <v>221.0</v>
      </c>
      <c r="K47" s="1"/>
    </row>
    <row r="48" hidden="1">
      <c r="A48" s="1">
        <v>99.0</v>
      </c>
      <c r="B48" s="11">
        <v>0.6840277777777778</v>
      </c>
      <c r="C48" s="1">
        <v>13.0</v>
      </c>
      <c r="D48" s="1">
        <v>259.0</v>
      </c>
      <c r="E48" s="1">
        <v>6.0</v>
      </c>
      <c r="F48" s="1" t="s">
        <v>324</v>
      </c>
      <c r="G48" s="1" t="s">
        <v>326</v>
      </c>
      <c r="H48" s="1" t="s">
        <v>283</v>
      </c>
      <c r="I48" s="1">
        <v>126.0</v>
      </c>
      <c r="J48" s="1">
        <v>217.0</v>
      </c>
      <c r="K48" s="1">
        <v>182.0</v>
      </c>
    </row>
    <row r="49" hidden="1">
      <c r="A49" s="1">
        <v>100.0</v>
      </c>
      <c r="B49" s="11">
        <v>0.6895833333333333</v>
      </c>
      <c r="C49" s="1">
        <v>196.0</v>
      </c>
      <c r="D49" s="1">
        <v>259.0</v>
      </c>
      <c r="E49" s="1">
        <v>6.0</v>
      </c>
      <c r="F49" s="1" t="s">
        <v>324</v>
      </c>
      <c r="G49" s="1" t="s">
        <v>326</v>
      </c>
      <c r="H49" s="1" t="s">
        <v>283</v>
      </c>
      <c r="I49" s="1">
        <v>142.0</v>
      </c>
      <c r="J49" s="1">
        <v>91.0</v>
      </c>
      <c r="K49" s="1">
        <v>16.0</v>
      </c>
    </row>
    <row r="50" hidden="1">
      <c r="A50" s="1">
        <v>101.0</v>
      </c>
      <c r="B50" s="11">
        <v>0.7125</v>
      </c>
      <c r="C50" s="1">
        <v>246.0</v>
      </c>
      <c r="D50" s="1">
        <v>259.0</v>
      </c>
      <c r="E50" s="1">
        <v>155.0</v>
      </c>
      <c r="F50" s="1" t="b">
        <v>0</v>
      </c>
      <c r="G50" s="1" t="s">
        <v>325</v>
      </c>
      <c r="H50" s="1" t="s">
        <v>283</v>
      </c>
      <c r="I50" s="1">
        <v>466.0</v>
      </c>
      <c r="J50" s="1">
        <v>254.0</v>
      </c>
      <c r="K50" s="1"/>
    </row>
    <row r="51" hidden="1">
      <c r="A51" s="1">
        <v>102.0</v>
      </c>
      <c r="B51" s="11">
        <v>0.725</v>
      </c>
      <c r="C51" s="1">
        <v>62.0</v>
      </c>
      <c r="D51" s="1">
        <v>259.0</v>
      </c>
      <c r="E51" s="1">
        <v>6.0</v>
      </c>
      <c r="F51" s="1" t="s">
        <v>324</v>
      </c>
      <c r="G51" s="1" t="s">
        <v>273</v>
      </c>
      <c r="H51" s="1" t="s">
        <v>283</v>
      </c>
      <c r="I51" s="1">
        <v>201.0</v>
      </c>
      <c r="J51" s="1">
        <v>87.0</v>
      </c>
      <c r="K51" s="1">
        <v>15.0</v>
      </c>
    </row>
    <row r="52" hidden="1">
      <c r="A52" s="1">
        <v>103.0</v>
      </c>
      <c r="B52" s="11">
        <v>0.7298611111111111</v>
      </c>
      <c r="C52" s="1">
        <v>62.0</v>
      </c>
      <c r="D52" s="1">
        <v>259.0</v>
      </c>
      <c r="E52" s="1">
        <v>6.0</v>
      </c>
      <c r="F52" s="1" t="s">
        <v>324</v>
      </c>
      <c r="G52" s="1" t="s">
        <v>273</v>
      </c>
      <c r="H52" s="1" t="s">
        <v>283</v>
      </c>
      <c r="I52" s="1">
        <v>165.0</v>
      </c>
      <c r="J52" s="1">
        <v>131.0</v>
      </c>
      <c r="K52" s="1">
        <v>15.0</v>
      </c>
    </row>
    <row r="53" hidden="1">
      <c r="A53" s="1">
        <v>105.0</v>
      </c>
      <c r="B53" s="11">
        <v>0.7916666666666666</v>
      </c>
      <c r="C53" s="1">
        <v>52.0</v>
      </c>
      <c r="D53" s="1">
        <v>259.0</v>
      </c>
      <c r="E53" s="1">
        <v>155.0</v>
      </c>
      <c r="F53" s="1" t="s">
        <v>324</v>
      </c>
      <c r="G53" s="1" t="s">
        <v>273</v>
      </c>
      <c r="H53" s="1" t="s">
        <v>283</v>
      </c>
      <c r="I53" s="1">
        <v>396.0</v>
      </c>
      <c r="J53" s="1">
        <v>66.0</v>
      </c>
      <c r="K53" s="1">
        <v>99.0</v>
      </c>
    </row>
    <row r="54" hidden="1">
      <c r="A54" s="1">
        <v>106.0</v>
      </c>
      <c r="B54" s="11">
        <v>0.7951388888888888</v>
      </c>
      <c r="C54" s="1">
        <v>149.0</v>
      </c>
      <c r="D54" s="1">
        <v>259.0</v>
      </c>
      <c r="E54" s="1">
        <v>155.0</v>
      </c>
      <c r="F54" s="1" t="b">
        <v>0</v>
      </c>
      <c r="G54" s="1" t="s">
        <v>288</v>
      </c>
      <c r="H54" s="1" t="s">
        <v>286</v>
      </c>
      <c r="I54" s="1">
        <v>544.0</v>
      </c>
      <c r="J54" s="1">
        <v>179.0</v>
      </c>
      <c r="K54" s="1"/>
    </row>
    <row r="55" hidden="1">
      <c r="A55" s="1">
        <v>107.0</v>
      </c>
      <c r="B55" s="11">
        <v>0.8090277777777778</v>
      </c>
      <c r="C55" s="1">
        <v>224.0</v>
      </c>
      <c r="D55" s="1">
        <v>259.0</v>
      </c>
      <c r="E55" s="1">
        <v>6.0</v>
      </c>
      <c r="F55" s="1" t="s">
        <v>324</v>
      </c>
      <c r="G55" s="1" t="s">
        <v>273</v>
      </c>
      <c r="H55" s="1" t="s">
        <v>283</v>
      </c>
      <c r="I55" s="1">
        <v>195.0</v>
      </c>
      <c r="J55" s="1">
        <v>116.0</v>
      </c>
      <c r="K55" s="1">
        <v>52.0</v>
      </c>
    </row>
    <row r="56" hidden="1">
      <c r="A56" s="1">
        <v>108.0</v>
      </c>
      <c r="B56" s="11">
        <v>0.8104166666666667</v>
      </c>
      <c r="C56" s="1">
        <v>291.0</v>
      </c>
      <c r="D56" s="1">
        <v>259.0</v>
      </c>
      <c r="E56" s="1">
        <v>6.0</v>
      </c>
      <c r="F56" s="1" t="b">
        <v>0</v>
      </c>
      <c r="G56" s="1" t="s">
        <v>325</v>
      </c>
      <c r="H56" s="1" t="s">
        <v>283</v>
      </c>
      <c r="I56" s="1">
        <v>128.0</v>
      </c>
      <c r="J56" s="1">
        <v>234.0</v>
      </c>
      <c r="K56" s="1"/>
    </row>
    <row r="57" hidden="1">
      <c r="A57" s="1">
        <v>110.0</v>
      </c>
      <c r="B57" s="11">
        <v>0.8194444444444444</v>
      </c>
      <c r="C57" s="1">
        <v>196.0</v>
      </c>
      <c r="D57" s="1">
        <v>259.0</v>
      </c>
      <c r="E57" s="1">
        <v>6.0</v>
      </c>
      <c r="F57" s="1" t="s">
        <v>324</v>
      </c>
      <c r="G57" s="1" t="s">
        <v>326</v>
      </c>
      <c r="H57" s="1" t="s">
        <v>274</v>
      </c>
      <c r="I57" s="1">
        <v>61.0</v>
      </c>
      <c r="J57" s="1">
        <v>127.0</v>
      </c>
      <c r="K57" s="1">
        <v>12.0</v>
      </c>
    </row>
    <row r="58" hidden="1">
      <c r="A58" s="1">
        <v>112.0</v>
      </c>
      <c r="B58" s="11">
        <v>0.013888888888888888</v>
      </c>
      <c r="C58" s="1">
        <v>208.0</v>
      </c>
      <c r="D58" s="1">
        <v>259.0</v>
      </c>
      <c r="E58" s="1">
        <v>6.0</v>
      </c>
      <c r="F58" s="1" t="b">
        <v>0</v>
      </c>
      <c r="G58" s="1" t="s">
        <v>288</v>
      </c>
      <c r="H58" s="1" t="s">
        <v>327</v>
      </c>
      <c r="I58" s="1">
        <v>87.0</v>
      </c>
      <c r="J58" s="1">
        <v>174.0</v>
      </c>
      <c r="K58" s="1"/>
    </row>
    <row r="59" hidden="1">
      <c r="A59" s="1">
        <v>115.0</v>
      </c>
      <c r="B59" s="11">
        <v>0.05347222222222222</v>
      </c>
      <c r="C59" s="1">
        <v>52.0</v>
      </c>
      <c r="D59" s="1">
        <v>259.0</v>
      </c>
      <c r="E59" s="1">
        <v>155.0</v>
      </c>
      <c r="F59" s="1" t="s">
        <v>324</v>
      </c>
      <c r="G59" s="1" t="s">
        <v>273</v>
      </c>
      <c r="H59" s="1" t="s">
        <v>283</v>
      </c>
      <c r="I59" s="1">
        <v>443.0</v>
      </c>
      <c r="J59" s="1">
        <v>46.0</v>
      </c>
      <c r="K59" s="1">
        <v>49.0</v>
      </c>
    </row>
    <row r="60" hidden="1">
      <c r="A60" s="1">
        <v>117.0</v>
      </c>
      <c r="B60" s="11">
        <v>0.07569444444444444</v>
      </c>
      <c r="C60" s="1">
        <v>13.0</v>
      </c>
      <c r="D60" s="1">
        <v>259.0</v>
      </c>
      <c r="E60" s="1">
        <v>6.0</v>
      </c>
      <c r="F60" s="1" t="b">
        <v>0</v>
      </c>
      <c r="G60" s="1" t="s">
        <v>325</v>
      </c>
      <c r="H60" s="1" t="s">
        <v>274</v>
      </c>
      <c r="I60" s="1">
        <v>220.0</v>
      </c>
      <c r="J60" s="1">
        <v>123.0</v>
      </c>
      <c r="K60" s="1"/>
    </row>
    <row r="61" hidden="1">
      <c r="A61" s="1">
        <v>119.0</v>
      </c>
      <c r="B61" s="11">
        <v>0.10208333333333333</v>
      </c>
      <c r="C61" s="1">
        <v>203.0</v>
      </c>
      <c r="D61" s="1">
        <v>259.0</v>
      </c>
      <c r="E61" s="1">
        <v>6.0</v>
      </c>
      <c r="F61" s="1" t="s">
        <v>324</v>
      </c>
      <c r="G61" s="1" t="s">
        <v>273</v>
      </c>
      <c r="H61" s="1" t="s">
        <v>283</v>
      </c>
      <c r="I61" s="1">
        <v>200.0</v>
      </c>
      <c r="J61" s="1">
        <v>225.0</v>
      </c>
      <c r="K61" s="1">
        <v>256.0</v>
      </c>
    </row>
    <row r="62" hidden="1">
      <c r="A62" s="1">
        <v>121.0</v>
      </c>
      <c r="B62" s="11">
        <v>0.13333333333333333</v>
      </c>
      <c r="C62" s="1">
        <v>2.0</v>
      </c>
      <c r="D62" s="1">
        <v>259.0</v>
      </c>
      <c r="E62" s="1">
        <v>6.0</v>
      </c>
      <c r="F62" s="1" t="b">
        <v>0</v>
      </c>
      <c r="G62" s="1" t="s">
        <v>325</v>
      </c>
      <c r="H62" s="1" t="s">
        <v>277</v>
      </c>
      <c r="I62" s="1">
        <v>197.0</v>
      </c>
      <c r="J62" s="1">
        <v>137.0</v>
      </c>
      <c r="K62" s="1"/>
    </row>
    <row r="63" hidden="1">
      <c r="A63" s="1">
        <v>123.0</v>
      </c>
      <c r="B63" s="11">
        <v>0.17083333333333334</v>
      </c>
      <c r="C63" s="1">
        <v>243.0</v>
      </c>
      <c r="D63" s="1">
        <v>259.0</v>
      </c>
      <c r="E63" s="1">
        <v>155.0</v>
      </c>
      <c r="F63" s="1" t="b">
        <v>0</v>
      </c>
      <c r="G63" s="1" t="s">
        <v>288</v>
      </c>
      <c r="H63" s="1" t="s">
        <v>286</v>
      </c>
      <c r="I63" s="1">
        <v>475.0</v>
      </c>
      <c r="J63" s="1">
        <v>225.0</v>
      </c>
      <c r="K63" s="1"/>
    </row>
    <row r="64" hidden="1">
      <c r="A64" s="1">
        <v>125.0</v>
      </c>
      <c r="B64" s="11">
        <v>0.17916666666666667</v>
      </c>
      <c r="C64" s="1">
        <v>149.0</v>
      </c>
      <c r="D64" s="1">
        <v>259.0</v>
      </c>
      <c r="E64" s="1">
        <v>155.0</v>
      </c>
      <c r="F64" s="1" t="s">
        <v>324</v>
      </c>
      <c r="G64" s="1" t="s">
        <v>326</v>
      </c>
      <c r="H64" s="1" t="s">
        <v>283</v>
      </c>
      <c r="I64" s="1">
        <v>497.0</v>
      </c>
      <c r="J64" s="1">
        <v>133.0</v>
      </c>
      <c r="K64" s="1">
        <v>208.0</v>
      </c>
    </row>
    <row r="65" hidden="1">
      <c r="A65" s="1">
        <v>128.0</v>
      </c>
      <c r="B65" s="11">
        <v>0.20694444444444443</v>
      </c>
      <c r="C65" s="1">
        <v>15.0</v>
      </c>
      <c r="D65" s="1">
        <v>259.0</v>
      </c>
      <c r="E65" s="1">
        <v>155.0</v>
      </c>
      <c r="F65" s="1" t="b">
        <v>0</v>
      </c>
      <c r="G65" s="1" t="s">
        <v>325</v>
      </c>
      <c r="H65" s="1" t="s">
        <v>274</v>
      </c>
      <c r="I65" s="1">
        <v>436.0</v>
      </c>
      <c r="J65" s="1">
        <v>135.0</v>
      </c>
      <c r="K65" s="1"/>
    </row>
    <row r="66" hidden="1">
      <c r="A66" s="1">
        <v>130.0</v>
      </c>
      <c r="B66" s="11">
        <v>0.22291666666666668</v>
      </c>
      <c r="C66" s="1">
        <v>181.0</v>
      </c>
      <c r="D66" s="1">
        <v>259.0</v>
      </c>
      <c r="E66" s="1">
        <v>6.0</v>
      </c>
      <c r="F66" s="1" t="b">
        <v>0</v>
      </c>
      <c r="G66" s="1" t="s">
        <v>325</v>
      </c>
      <c r="H66" s="1" t="s">
        <v>283</v>
      </c>
      <c r="I66" s="1">
        <v>61.0</v>
      </c>
      <c r="J66" s="1">
        <v>248.0</v>
      </c>
      <c r="K66" s="1"/>
    </row>
    <row r="67" hidden="1">
      <c r="A67" s="1">
        <v>132.0</v>
      </c>
      <c r="B67" s="11">
        <v>0.2423611111111111</v>
      </c>
      <c r="C67" s="1">
        <v>34.0</v>
      </c>
      <c r="D67" s="1">
        <v>259.0</v>
      </c>
      <c r="E67" s="1">
        <v>6.0</v>
      </c>
      <c r="F67" s="1" t="b">
        <v>0</v>
      </c>
      <c r="G67" s="1" t="s">
        <v>325</v>
      </c>
      <c r="H67" s="1" t="s">
        <v>283</v>
      </c>
      <c r="I67" s="1">
        <v>165.0</v>
      </c>
      <c r="J67" s="1">
        <v>110.0</v>
      </c>
      <c r="K67" s="1"/>
    </row>
    <row r="68" hidden="1">
      <c r="A68" s="1">
        <v>134.0</v>
      </c>
      <c r="B68" s="11">
        <v>0.24861111111111112</v>
      </c>
      <c r="C68" s="1">
        <v>34.0</v>
      </c>
      <c r="D68" s="1">
        <v>259.0</v>
      </c>
      <c r="E68" s="1">
        <v>6.0</v>
      </c>
      <c r="F68" s="1" t="s">
        <v>324</v>
      </c>
      <c r="G68" s="1" t="s">
        <v>326</v>
      </c>
      <c r="H68" s="1" t="s">
        <v>283</v>
      </c>
      <c r="I68" s="1">
        <v>90.0</v>
      </c>
      <c r="J68" s="1">
        <v>123.0</v>
      </c>
      <c r="K68" s="1">
        <v>52.0</v>
      </c>
    </row>
    <row r="69" hidden="1">
      <c r="A69" s="1">
        <v>135.0</v>
      </c>
      <c r="B69" s="11">
        <v>0.2548611111111111</v>
      </c>
      <c r="C69" s="1">
        <v>246.0</v>
      </c>
      <c r="D69" s="1">
        <v>259.0</v>
      </c>
      <c r="E69" s="1">
        <v>155.0</v>
      </c>
      <c r="F69" s="1" t="s">
        <v>324</v>
      </c>
      <c r="G69" s="1" t="s">
        <v>326</v>
      </c>
      <c r="H69" s="1" t="s">
        <v>274</v>
      </c>
      <c r="I69" s="1">
        <v>468.0</v>
      </c>
      <c r="J69" s="1">
        <v>185.0</v>
      </c>
      <c r="K69" s="1">
        <v>2.0</v>
      </c>
    </row>
    <row r="70" hidden="1">
      <c r="A70" s="1">
        <v>136.0</v>
      </c>
      <c r="B70" s="11">
        <v>0.27361111111111114</v>
      </c>
      <c r="C70" s="1">
        <v>210.0</v>
      </c>
      <c r="D70" s="1">
        <v>259.0</v>
      </c>
      <c r="E70" s="1">
        <v>6.0</v>
      </c>
      <c r="F70" s="1" t="b">
        <v>0</v>
      </c>
      <c r="G70" s="1" t="s">
        <v>288</v>
      </c>
      <c r="H70" s="1" t="s">
        <v>290</v>
      </c>
      <c r="I70" s="1">
        <v>51.0</v>
      </c>
      <c r="J70" s="1">
        <v>123.0</v>
      </c>
      <c r="K70" s="1"/>
    </row>
    <row r="71" hidden="1">
      <c r="A71" s="1">
        <v>138.0</v>
      </c>
      <c r="B71" s="11">
        <v>0.28125</v>
      </c>
      <c r="C71" s="1">
        <v>62.0</v>
      </c>
      <c r="D71" s="1">
        <v>259.0</v>
      </c>
      <c r="E71" s="1">
        <v>6.0</v>
      </c>
      <c r="F71" s="1" t="b">
        <v>0</v>
      </c>
      <c r="G71" s="1" t="s">
        <v>325</v>
      </c>
      <c r="H71" s="1" t="s">
        <v>277</v>
      </c>
      <c r="I71" s="1">
        <v>163.0</v>
      </c>
      <c r="J71" s="1">
        <v>172.0</v>
      </c>
      <c r="K71" s="1"/>
    </row>
    <row r="72" hidden="1">
      <c r="A72" s="1">
        <v>140.0</v>
      </c>
      <c r="B72" s="11">
        <v>0.2972222222222222</v>
      </c>
      <c r="C72" s="1">
        <v>138.0</v>
      </c>
      <c r="D72" s="1">
        <v>259.0</v>
      </c>
      <c r="E72" s="1">
        <v>6.0</v>
      </c>
      <c r="F72" s="1" t="s">
        <v>324</v>
      </c>
      <c r="G72" s="1" t="s">
        <v>326</v>
      </c>
      <c r="H72" s="1" t="s">
        <v>327</v>
      </c>
      <c r="I72" s="1">
        <v>131.0</v>
      </c>
      <c r="J72" s="1">
        <v>82.0</v>
      </c>
      <c r="K72" s="1">
        <v>185.0</v>
      </c>
    </row>
    <row r="73" hidden="1">
      <c r="A73" s="1">
        <v>141.0</v>
      </c>
      <c r="B73" s="11">
        <v>0.29791666666666666</v>
      </c>
      <c r="C73" s="1">
        <v>138.0</v>
      </c>
      <c r="D73" s="1">
        <v>259.0</v>
      </c>
      <c r="E73" s="1">
        <v>6.0</v>
      </c>
      <c r="F73" s="1" t="b">
        <v>0</v>
      </c>
      <c r="G73" s="1" t="s">
        <v>325</v>
      </c>
      <c r="H73" s="1" t="s">
        <v>274</v>
      </c>
      <c r="I73" s="1">
        <v>169.0</v>
      </c>
      <c r="J73" s="1">
        <v>45.0</v>
      </c>
      <c r="K73" s="1"/>
    </row>
    <row r="74" hidden="1">
      <c r="A74" s="1">
        <v>142.0</v>
      </c>
      <c r="B74" s="11">
        <v>0.33055555555555555</v>
      </c>
      <c r="C74" s="1">
        <v>224.0</v>
      </c>
      <c r="D74" s="1">
        <v>259.0</v>
      </c>
      <c r="E74" s="1">
        <v>6.0</v>
      </c>
      <c r="F74" s="1" t="b">
        <v>0</v>
      </c>
      <c r="G74" s="1" t="s">
        <v>325</v>
      </c>
      <c r="H74" s="1" t="s">
        <v>290</v>
      </c>
      <c r="I74" s="1">
        <v>91.0</v>
      </c>
      <c r="J74" s="1">
        <v>79.0</v>
      </c>
      <c r="K74" s="1"/>
    </row>
    <row r="75" hidden="1">
      <c r="A75" s="1">
        <v>143.0</v>
      </c>
      <c r="B75" s="11">
        <v>0.33611111111111114</v>
      </c>
      <c r="C75" s="1">
        <v>203.0</v>
      </c>
      <c r="D75" s="1">
        <v>259.0</v>
      </c>
      <c r="E75" s="1">
        <v>6.0</v>
      </c>
      <c r="F75" s="1" t="b">
        <v>0</v>
      </c>
      <c r="G75" s="1" t="s">
        <v>325</v>
      </c>
      <c r="H75" s="1" t="s">
        <v>274</v>
      </c>
      <c r="I75" s="1">
        <v>176.0</v>
      </c>
      <c r="J75" s="1">
        <v>293.0</v>
      </c>
      <c r="K75" s="1"/>
    </row>
    <row r="76" hidden="1">
      <c r="A76" s="1">
        <v>145.0</v>
      </c>
      <c r="B76" s="11">
        <v>0.3506944444444444</v>
      </c>
      <c r="C76" s="1">
        <v>196.0</v>
      </c>
      <c r="D76" s="1">
        <v>259.0</v>
      </c>
      <c r="E76" s="1">
        <v>6.0</v>
      </c>
      <c r="F76" s="1" t="b">
        <v>0</v>
      </c>
      <c r="G76" s="1" t="s">
        <v>288</v>
      </c>
      <c r="H76" s="1" t="s">
        <v>327</v>
      </c>
      <c r="I76" s="1">
        <v>79.0</v>
      </c>
      <c r="J76" s="1">
        <v>101.0</v>
      </c>
      <c r="K76" s="1"/>
    </row>
    <row r="77" hidden="1">
      <c r="A77" s="1">
        <v>146.0</v>
      </c>
      <c r="B77" s="11">
        <v>0.38125</v>
      </c>
      <c r="C77" s="1">
        <v>259.0</v>
      </c>
      <c r="D77" s="1">
        <v>259.0</v>
      </c>
      <c r="E77" s="1">
        <v>155.0</v>
      </c>
      <c r="F77" s="1" t="s">
        <v>324</v>
      </c>
      <c r="G77" s="1" t="s">
        <v>273</v>
      </c>
      <c r="H77" s="1" t="s">
        <v>274</v>
      </c>
      <c r="I77" s="1">
        <v>448.0</v>
      </c>
      <c r="J77" s="1">
        <v>90.0</v>
      </c>
      <c r="K77" s="1">
        <v>196.0</v>
      </c>
    </row>
    <row r="78" hidden="1">
      <c r="A78" s="1">
        <v>148.0</v>
      </c>
      <c r="B78" s="11">
        <v>0.41597222222222224</v>
      </c>
      <c r="C78" s="1">
        <v>49.0</v>
      </c>
      <c r="D78" s="1">
        <v>259.0</v>
      </c>
      <c r="E78" s="1">
        <v>6.0</v>
      </c>
      <c r="F78" s="1" t="s">
        <v>324</v>
      </c>
      <c r="G78" s="1" t="s">
        <v>326</v>
      </c>
      <c r="H78" s="1" t="s">
        <v>274</v>
      </c>
      <c r="I78" s="1">
        <v>75.0</v>
      </c>
      <c r="J78" s="1">
        <v>160.0</v>
      </c>
      <c r="K78" s="1">
        <v>12.0</v>
      </c>
    </row>
    <row r="79" hidden="1">
      <c r="A79" s="1">
        <v>149.0</v>
      </c>
      <c r="B79" s="11">
        <v>0.4166666666666667</v>
      </c>
      <c r="C79" s="1">
        <v>49.0</v>
      </c>
      <c r="D79" s="1">
        <v>259.0</v>
      </c>
      <c r="E79" s="1">
        <v>6.0</v>
      </c>
      <c r="F79" s="1" t="s">
        <v>324</v>
      </c>
      <c r="G79" s="1" t="s">
        <v>326</v>
      </c>
      <c r="H79" s="1" t="s">
        <v>274</v>
      </c>
      <c r="I79" s="1">
        <v>66.0</v>
      </c>
      <c r="J79" s="1">
        <v>153.0</v>
      </c>
      <c r="K79" s="1">
        <v>246.0</v>
      </c>
    </row>
    <row r="80" hidden="1">
      <c r="A80" s="1">
        <v>150.0</v>
      </c>
      <c r="B80" s="11">
        <v>0.4215277777777778</v>
      </c>
      <c r="C80" s="1">
        <v>2.0</v>
      </c>
      <c r="D80" s="1">
        <v>259.0</v>
      </c>
      <c r="E80" s="1">
        <v>6.0</v>
      </c>
      <c r="F80" s="1" t="s">
        <v>324</v>
      </c>
      <c r="G80" s="1" t="s">
        <v>273</v>
      </c>
      <c r="H80" s="1" t="s">
        <v>274</v>
      </c>
      <c r="I80" s="1">
        <v>195.0</v>
      </c>
      <c r="J80" s="1">
        <v>141.0</v>
      </c>
      <c r="K80" s="1">
        <v>17.0</v>
      </c>
    </row>
    <row r="81" hidden="1">
      <c r="A81" s="1">
        <v>151.0</v>
      </c>
      <c r="B81" s="11">
        <v>0.4236111111111111</v>
      </c>
      <c r="C81" s="1">
        <v>99.0</v>
      </c>
      <c r="D81" s="1">
        <v>259.0</v>
      </c>
      <c r="E81" s="1">
        <v>6.0</v>
      </c>
      <c r="F81" s="1" t="s">
        <v>324</v>
      </c>
      <c r="G81" s="1" t="s">
        <v>273</v>
      </c>
      <c r="H81" s="1" t="s">
        <v>283</v>
      </c>
      <c r="I81" s="1">
        <v>87.0</v>
      </c>
      <c r="J81" s="1">
        <v>253.0</v>
      </c>
      <c r="K81" s="1">
        <v>12.0</v>
      </c>
    </row>
    <row r="82" hidden="1">
      <c r="A82" s="1">
        <v>152.0</v>
      </c>
      <c r="B82" s="11">
        <v>0.4388888888888889</v>
      </c>
      <c r="C82" s="1">
        <v>183.0</v>
      </c>
      <c r="D82" s="1">
        <v>259.0</v>
      </c>
      <c r="E82" s="1">
        <v>155.0</v>
      </c>
      <c r="F82" s="1" t="s">
        <v>324</v>
      </c>
      <c r="G82" s="1" t="s">
        <v>273</v>
      </c>
      <c r="H82" s="1" t="s">
        <v>274</v>
      </c>
      <c r="I82" s="1">
        <v>397.0</v>
      </c>
      <c r="J82" s="1">
        <v>88.0</v>
      </c>
      <c r="K82" s="1">
        <v>2.0</v>
      </c>
    </row>
    <row r="83" hidden="1">
      <c r="A83" s="1">
        <v>154.0</v>
      </c>
      <c r="B83" s="11">
        <v>0.4618055555555556</v>
      </c>
      <c r="C83" s="1">
        <v>210.0</v>
      </c>
      <c r="D83" s="1">
        <v>259.0</v>
      </c>
      <c r="E83" s="1">
        <v>6.0</v>
      </c>
      <c r="F83" s="1" t="s">
        <v>324</v>
      </c>
      <c r="G83" s="1" t="s">
        <v>326</v>
      </c>
      <c r="H83" s="1" t="s">
        <v>274</v>
      </c>
      <c r="I83" s="1">
        <v>130.0</v>
      </c>
      <c r="J83" s="1">
        <v>155.0</v>
      </c>
      <c r="K83" s="1">
        <v>182.0</v>
      </c>
    </row>
    <row r="84" hidden="1">
      <c r="A84" s="1">
        <v>156.0</v>
      </c>
      <c r="B84" s="11">
        <v>0.46944444444444444</v>
      </c>
      <c r="C84" s="1">
        <v>208.0</v>
      </c>
      <c r="D84" s="1">
        <v>259.0</v>
      </c>
      <c r="E84" s="1">
        <v>6.0</v>
      </c>
      <c r="F84" s="1" t="b">
        <v>0</v>
      </c>
      <c r="G84" s="1" t="s">
        <v>325</v>
      </c>
      <c r="H84" s="1" t="s">
        <v>327</v>
      </c>
      <c r="I84" s="1">
        <v>193.0</v>
      </c>
      <c r="J84" s="1">
        <v>180.0</v>
      </c>
      <c r="K84" s="1"/>
    </row>
    <row r="85" hidden="1">
      <c r="A85" s="1">
        <v>159.0</v>
      </c>
      <c r="B85" s="11">
        <v>0.5090277777777777</v>
      </c>
      <c r="C85" s="1">
        <v>16.0</v>
      </c>
      <c r="D85" s="1">
        <v>259.0</v>
      </c>
      <c r="E85" s="1">
        <v>155.0</v>
      </c>
      <c r="F85" s="1" t="b">
        <v>0</v>
      </c>
      <c r="G85" s="1" t="s">
        <v>288</v>
      </c>
      <c r="H85" s="1" t="s">
        <v>274</v>
      </c>
      <c r="I85" s="1">
        <v>472.0</v>
      </c>
      <c r="J85" s="1">
        <v>118.0</v>
      </c>
      <c r="K85" s="1"/>
    </row>
    <row r="86">
      <c r="A86" s="1">
        <v>160.0</v>
      </c>
      <c r="B86" s="11">
        <v>0.5145833333333333</v>
      </c>
      <c r="C86" s="1">
        <v>142.0</v>
      </c>
      <c r="D86" s="1">
        <v>259.0</v>
      </c>
      <c r="E86" s="1">
        <v>6.0</v>
      </c>
      <c r="F86" s="1" t="s">
        <v>324</v>
      </c>
      <c r="G86" s="1" t="s">
        <v>273</v>
      </c>
      <c r="H86" s="1" t="s">
        <v>283</v>
      </c>
      <c r="I86" s="1">
        <v>168.0</v>
      </c>
      <c r="J86" s="1">
        <v>133.0</v>
      </c>
      <c r="K86" s="1">
        <v>1.0</v>
      </c>
    </row>
    <row r="87" hidden="1">
      <c r="A87" s="1">
        <v>161.0</v>
      </c>
      <c r="B87" s="11">
        <v>0.5173611111111112</v>
      </c>
      <c r="C87" s="1">
        <v>12.0</v>
      </c>
      <c r="D87" s="1">
        <v>259.0</v>
      </c>
      <c r="E87" s="1">
        <v>155.0</v>
      </c>
      <c r="F87" s="1" t="b">
        <v>0</v>
      </c>
      <c r="G87" s="1" t="s">
        <v>325</v>
      </c>
      <c r="H87" s="1" t="s">
        <v>277</v>
      </c>
      <c r="I87" s="1">
        <v>465.0</v>
      </c>
      <c r="J87" s="1">
        <v>67.0</v>
      </c>
      <c r="K87" s="1"/>
    </row>
    <row r="88" hidden="1">
      <c r="A88" s="1">
        <v>163.0</v>
      </c>
      <c r="B88" s="11">
        <v>0.5701388888888889</v>
      </c>
      <c r="C88" s="1">
        <v>243.0</v>
      </c>
      <c r="D88" s="1">
        <v>259.0</v>
      </c>
      <c r="E88" s="1">
        <v>155.0</v>
      </c>
      <c r="F88" s="1" t="b">
        <v>0</v>
      </c>
      <c r="G88" s="1" t="s">
        <v>325</v>
      </c>
      <c r="H88" s="1" t="s">
        <v>286</v>
      </c>
      <c r="I88" s="1">
        <v>530.0</v>
      </c>
      <c r="J88" s="1">
        <v>211.0</v>
      </c>
      <c r="K88" s="1"/>
    </row>
    <row r="89" hidden="1">
      <c r="A89" s="1">
        <v>165.0</v>
      </c>
      <c r="B89" s="11">
        <v>0.5854166666666667</v>
      </c>
      <c r="C89" s="1">
        <v>246.0</v>
      </c>
      <c r="D89" s="1">
        <v>259.0</v>
      </c>
      <c r="E89" s="1">
        <v>155.0</v>
      </c>
      <c r="F89" s="1" t="b">
        <v>0</v>
      </c>
      <c r="G89" s="1" t="s">
        <v>325</v>
      </c>
      <c r="H89" s="1" t="s">
        <v>327</v>
      </c>
      <c r="I89" s="1">
        <v>440.0</v>
      </c>
      <c r="J89" s="1">
        <v>217.0</v>
      </c>
      <c r="K89" s="1"/>
    </row>
    <row r="90" hidden="1">
      <c r="A90" s="1">
        <v>166.0</v>
      </c>
      <c r="B90" s="11">
        <v>0.5979166666666667</v>
      </c>
      <c r="C90" s="1">
        <v>15.0</v>
      </c>
      <c r="D90" s="1">
        <v>259.0</v>
      </c>
      <c r="E90" s="1">
        <v>155.0</v>
      </c>
      <c r="F90" s="1" t="b">
        <v>0</v>
      </c>
      <c r="G90" s="1" t="s">
        <v>325</v>
      </c>
      <c r="H90" s="1" t="s">
        <v>277</v>
      </c>
      <c r="I90" s="1">
        <v>399.0</v>
      </c>
      <c r="J90" s="1">
        <v>153.0</v>
      </c>
      <c r="K90" s="1"/>
    </row>
    <row r="91" hidden="1">
      <c r="A91" s="1">
        <v>169.0</v>
      </c>
      <c r="B91" s="11">
        <v>0.61875</v>
      </c>
      <c r="C91" s="1">
        <v>17.0</v>
      </c>
      <c r="D91" s="1">
        <v>259.0</v>
      </c>
      <c r="E91" s="1">
        <v>155.0</v>
      </c>
      <c r="F91" s="1" t="s">
        <v>324</v>
      </c>
      <c r="G91" s="1" t="s">
        <v>273</v>
      </c>
      <c r="H91" s="1" t="s">
        <v>286</v>
      </c>
      <c r="I91" s="1">
        <v>456.0</v>
      </c>
      <c r="J91" s="1">
        <v>171.0</v>
      </c>
      <c r="K91" s="1">
        <v>2.0</v>
      </c>
    </row>
    <row r="92" hidden="1">
      <c r="A92" s="1">
        <v>171.0</v>
      </c>
      <c r="B92" s="11">
        <v>0.6458333333333334</v>
      </c>
      <c r="C92" s="1">
        <v>149.0</v>
      </c>
      <c r="D92" s="1">
        <v>259.0</v>
      </c>
      <c r="E92" s="1">
        <v>155.0</v>
      </c>
      <c r="F92" s="1" t="b">
        <v>0</v>
      </c>
      <c r="G92" s="1" t="s">
        <v>325</v>
      </c>
      <c r="H92" s="1" t="s">
        <v>274</v>
      </c>
      <c r="I92" s="1">
        <v>554.0</v>
      </c>
      <c r="J92" s="1">
        <v>174.0</v>
      </c>
      <c r="K92" s="1"/>
    </row>
    <row r="93" hidden="1">
      <c r="A93" s="1">
        <v>174.0</v>
      </c>
      <c r="B93" s="11">
        <v>0.7298611111111111</v>
      </c>
      <c r="C93" s="1">
        <v>12.0</v>
      </c>
      <c r="D93" s="1">
        <v>259.0</v>
      </c>
      <c r="E93" s="1">
        <v>155.0</v>
      </c>
      <c r="F93" s="1" t="s">
        <v>324</v>
      </c>
      <c r="G93" s="1" t="s">
        <v>273</v>
      </c>
      <c r="H93" s="1" t="s">
        <v>274</v>
      </c>
      <c r="I93" s="1">
        <v>488.0</v>
      </c>
      <c r="J93" s="1">
        <v>52.0</v>
      </c>
      <c r="K93" s="1">
        <v>196.0</v>
      </c>
    </row>
    <row r="94" hidden="1">
      <c r="A94" s="1">
        <v>175.0</v>
      </c>
      <c r="B94" s="11">
        <v>0.7388888888888889</v>
      </c>
      <c r="C94" s="1">
        <v>138.0</v>
      </c>
      <c r="D94" s="1">
        <v>259.0</v>
      </c>
      <c r="E94" s="1">
        <v>6.0</v>
      </c>
      <c r="F94" s="1" t="b">
        <v>0</v>
      </c>
      <c r="G94" s="1" t="s">
        <v>325</v>
      </c>
      <c r="H94" s="1" t="s">
        <v>274</v>
      </c>
      <c r="I94" s="1">
        <v>110.0</v>
      </c>
      <c r="J94" s="1">
        <v>292.0</v>
      </c>
      <c r="K94" s="1"/>
    </row>
    <row r="95" hidden="1">
      <c r="A95" s="1">
        <v>176.0</v>
      </c>
      <c r="B95" s="11">
        <v>0.7534722222222222</v>
      </c>
      <c r="C95" s="1">
        <v>224.0</v>
      </c>
      <c r="D95" s="1">
        <v>259.0</v>
      </c>
      <c r="E95" s="1">
        <v>6.0</v>
      </c>
      <c r="F95" s="1" t="b">
        <v>0</v>
      </c>
      <c r="G95" s="1" t="s">
        <v>325</v>
      </c>
      <c r="H95" s="1" t="s">
        <v>274</v>
      </c>
      <c r="I95" s="1">
        <v>100.0</v>
      </c>
      <c r="J95" s="1">
        <v>57.0</v>
      </c>
      <c r="K95" s="1"/>
    </row>
    <row r="96" hidden="1">
      <c r="A96" s="1">
        <v>177.0</v>
      </c>
      <c r="B96" s="11">
        <v>0.7784722222222222</v>
      </c>
      <c r="C96" s="1">
        <v>181.0</v>
      </c>
      <c r="D96" s="1">
        <v>259.0</v>
      </c>
      <c r="E96" s="1">
        <v>6.0</v>
      </c>
      <c r="F96" s="1" t="s">
        <v>324</v>
      </c>
      <c r="G96" s="1" t="s">
        <v>326</v>
      </c>
      <c r="H96" s="1" t="s">
        <v>274</v>
      </c>
      <c r="I96" s="1">
        <v>117.0</v>
      </c>
      <c r="J96" s="1">
        <v>205.0</v>
      </c>
      <c r="K96" s="1">
        <v>255.0</v>
      </c>
    </row>
    <row r="97" hidden="1">
      <c r="A97" s="1">
        <v>180.0</v>
      </c>
      <c r="B97" s="11">
        <v>0.7902777777777777</v>
      </c>
      <c r="C97" s="1">
        <v>149.0</v>
      </c>
      <c r="D97" s="1">
        <v>259.0</v>
      </c>
      <c r="E97" s="1">
        <v>155.0</v>
      </c>
      <c r="F97" s="1" t="s">
        <v>324</v>
      </c>
      <c r="G97" s="1" t="s">
        <v>326</v>
      </c>
      <c r="H97" s="1" t="s">
        <v>274</v>
      </c>
      <c r="I97" s="1">
        <v>472.0</v>
      </c>
      <c r="J97" s="1">
        <v>167.0</v>
      </c>
      <c r="K97" s="1">
        <v>181.0</v>
      </c>
    </row>
    <row r="98" hidden="1">
      <c r="A98" s="1">
        <v>181.0</v>
      </c>
      <c r="B98" s="11">
        <v>0.8097222222222222</v>
      </c>
      <c r="C98" s="1">
        <v>16.0</v>
      </c>
      <c r="D98" s="1">
        <v>259.0</v>
      </c>
      <c r="E98" s="1">
        <v>155.0</v>
      </c>
      <c r="F98" s="1" t="s">
        <v>324</v>
      </c>
      <c r="G98" s="1" t="s">
        <v>326</v>
      </c>
      <c r="H98" s="1" t="s">
        <v>274</v>
      </c>
      <c r="I98" s="1">
        <v>501.0</v>
      </c>
      <c r="J98" s="1">
        <v>190.0</v>
      </c>
      <c r="K98" s="1">
        <v>181.0</v>
      </c>
    </row>
    <row r="99" hidden="1">
      <c r="A99" s="1">
        <v>182.0</v>
      </c>
      <c r="B99" s="11">
        <v>0.8270833333333333</v>
      </c>
      <c r="C99" s="1">
        <v>142.0</v>
      </c>
      <c r="D99" s="1">
        <v>259.0</v>
      </c>
      <c r="E99" s="1">
        <v>6.0</v>
      </c>
      <c r="F99" s="1" t="b">
        <v>0</v>
      </c>
      <c r="G99" s="1" t="s">
        <v>325</v>
      </c>
      <c r="H99" s="1" t="s">
        <v>283</v>
      </c>
      <c r="I99" s="1">
        <v>175.0</v>
      </c>
      <c r="J99" s="1">
        <v>94.0</v>
      </c>
      <c r="K99" s="1"/>
    </row>
    <row r="100" hidden="1">
      <c r="A100" s="1">
        <v>184.0</v>
      </c>
      <c r="B100" s="11">
        <v>0.8305555555555556</v>
      </c>
      <c r="C100" s="1">
        <v>196.0</v>
      </c>
      <c r="D100" s="1">
        <v>259.0</v>
      </c>
      <c r="E100" s="1">
        <v>6.0</v>
      </c>
      <c r="F100" s="1" t="s">
        <v>324</v>
      </c>
      <c r="G100" s="1" t="s">
        <v>273</v>
      </c>
      <c r="H100" s="1" t="s">
        <v>274</v>
      </c>
      <c r="I100" s="1">
        <v>180.0</v>
      </c>
      <c r="J100" s="1">
        <v>182.0</v>
      </c>
      <c r="K100" s="1">
        <v>183.0</v>
      </c>
    </row>
    <row r="101" hidden="1">
      <c r="A101" s="1">
        <v>185.0</v>
      </c>
      <c r="B101" s="11">
        <v>0.8319444444444445</v>
      </c>
      <c r="C101" s="1">
        <v>196.0</v>
      </c>
      <c r="D101" s="1">
        <v>259.0</v>
      </c>
      <c r="E101" s="1">
        <v>6.0</v>
      </c>
      <c r="F101" s="1" t="s">
        <v>324</v>
      </c>
      <c r="G101" s="1" t="s">
        <v>273</v>
      </c>
      <c r="H101" s="1" t="s">
        <v>274</v>
      </c>
      <c r="I101" s="1">
        <v>179.0</v>
      </c>
      <c r="J101" s="1">
        <v>165.0</v>
      </c>
      <c r="K101" s="1">
        <v>183.0</v>
      </c>
    </row>
    <row r="102" hidden="1">
      <c r="A102" s="1">
        <v>187.0</v>
      </c>
      <c r="B102" s="11">
        <v>0.020833333333333332</v>
      </c>
      <c r="C102" s="1">
        <v>13.0</v>
      </c>
      <c r="D102" s="1">
        <v>259.0</v>
      </c>
      <c r="E102" s="1">
        <v>6.0</v>
      </c>
      <c r="F102" s="1" t="b">
        <v>0</v>
      </c>
      <c r="G102" s="1" t="s">
        <v>325</v>
      </c>
      <c r="H102" s="1" t="s">
        <v>283</v>
      </c>
      <c r="I102" s="1">
        <v>213.0</v>
      </c>
      <c r="J102" s="1">
        <v>165.0</v>
      </c>
      <c r="K102" s="1"/>
    </row>
    <row r="103" hidden="1">
      <c r="A103" s="1">
        <v>188.0</v>
      </c>
      <c r="B103" s="11">
        <v>0.02847222222222222</v>
      </c>
      <c r="C103" s="1">
        <v>246.0</v>
      </c>
      <c r="D103" s="1">
        <v>259.0</v>
      </c>
      <c r="E103" s="1">
        <v>155.0</v>
      </c>
      <c r="F103" s="1" t="b">
        <v>0</v>
      </c>
      <c r="G103" s="1" t="s">
        <v>288</v>
      </c>
      <c r="H103" s="1" t="s">
        <v>283</v>
      </c>
      <c r="I103" s="1">
        <v>507.0</v>
      </c>
      <c r="J103" s="1">
        <v>153.0</v>
      </c>
      <c r="K103" s="1"/>
    </row>
    <row r="104" hidden="1">
      <c r="A104" s="1">
        <v>189.0</v>
      </c>
      <c r="B104" s="11">
        <v>0.13333333333333333</v>
      </c>
      <c r="C104" s="1">
        <v>142.0</v>
      </c>
      <c r="D104" s="1">
        <v>259.0</v>
      </c>
      <c r="E104" s="1">
        <v>6.0</v>
      </c>
      <c r="F104" s="1" t="b">
        <v>0</v>
      </c>
      <c r="G104" s="1" t="s">
        <v>325</v>
      </c>
      <c r="H104" s="1" t="s">
        <v>274</v>
      </c>
      <c r="I104" s="1">
        <v>155.0</v>
      </c>
      <c r="J104" s="1">
        <v>251.0</v>
      </c>
      <c r="K104" s="1"/>
    </row>
    <row r="105" hidden="1">
      <c r="A105" s="1">
        <v>190.0</v>
      </c>
      <c r="B105" s="11">
        <v>0.1388888888888889</v>
      </c>
      <c r="C105" s="1">
        <v>142.0</v>
      </c>
      <c r="D105" s="1">
        <v>259.0</v>
      </c>
      <c r="E105" s="1">
        <v>6.0</v>
      </c>
      <c r="F105" s="1" t="s">
        <v>324</v>
      </c>
      <c r="G105" s="1" t="s">
        <v>273</v>
      </c>
      <c r="H105" s="1" t="s">
        <v>283</v>
      </c>
      <c r="I105" s="1">
        <v>42.0</v>
      </c>
      <c r="J105" s="1">
        <v>128.0</v>
      </c>
      <c r="K105" s="1">
        <v>18.0</v>
      </c>
    </row>
    <row r="106" hidden="1">
      <c r="A106" s="1">
        <v>191.0</v>
      </c>
      <c r="B106" s="11">
        <v>0.14027777777777778</v>
      </c>
      <c r="C106" s="1">
        <v>196.0</v>
      </c>
      <c r="D106" s="1">
        <v>259.0</v>
      </c>
      <c r="E106" s="1">
        <v>6.0</v>
      </c>
      <c r="F106" s="1" t="s">
        <v>324</v>
      </c>
      <c r="G106" s="1" t="s">
        <v>273</v>
      </c>
      <c r="H106" s="1" t="s">
        <v>274</v>
      </c>
      <c r="I106" s="1">
        <v>177.0</v>
      </c>
      <c r="J106" s="1">
        <v>244.0</v>
      </c>
      <c r="K106" s="1">
        <v>78.0</v>
      </c>
    </row>
    <row r="107" hidden="1">
      <c r="A107" s="1">
        <v>194.0</v>
      </c>
      <c r="B107" s="11">
        <v>0.1951388888888889</v>
      </c>
      <c r="C107" s="1">
        <v>78.0</v>
      </c>
      <c r="D107" s="1">
        <v>259.0</v>
      </c>
      <c r="E107" s="1">
        <v>155.0</v>
      </c>
      <c r="F107" s="1" t="b">
        <v>0</v>
      </c>
      <c r="G107" s="1" t="s">
        <v>325</v>
      </c>
      <c r="H107" s="1" t="s">
        <v>274</v>
      </c>
      <c r="I107" s="1">
        <v>439.0</v>
      </c>
      <c r="J107" s="1">
        <v>248.0</v>
      </c>
      <c r="K107" s="1"/>
    </row>
    <row r="108" hidden="1">
      <c r="A108" s="1">
        <v>196.0</v>
      </c>
      <c r="B108" s="11">
        <v>0.20277777777777778</v>
      </c>
      <c r="C108" s="1">
        <v>183.0</v>
      </c>
      <c r="D108" s="1">
        <v>259.0</v>
      </c>
      <c r="E108" s="1">
        <v>155.0</v>
      </c>
      <c r="F108" s="1" t="b">
        <v>0</v>
      </c>
      <c r="G108" s="1" t="s">
        <v>325</v>
      </c>
      <c r="H108" s="1" t="s">
        <v>274</v>
      </c>
      <c r="I108" s="1">
        <v>533.0</v>
      </c>
      <c r="J108" s="1">
        <v>226.0</v>
      </c>
      <c r="K108" s="1"/>
    </row>
    <row r="109" hidden="1">
      <c r="A109" s="1">
        <v>197.0</v>
      </c>
      <c r="B109" s="11">
        <v>0.2076388888888889</v>
      </c>
      <c r="C109" s="1">
        <v>181.0</v>
      </c>
      <c r="D109" s="1">
        <v>259.0</v>
      </c>
      <c r="E109" s="1">
        <v>6.0</v>
      </c>
      <c r="F109" s="1" t="b">
        <v>0</v>
      </c>
      <c r="G109" s="1" t="s">
        <v>288</v>
      </c>
      <c r="H109" s="1" t="s">
        <v>283</v>
      </c>
      <c r="I109" s="1">
        <v>111.0</v>
      </c>
      <c r="J109" s="1">
        <v>78.0</v>
      </c>
      <c r="K109" s="1"/>
    </row>
    <row r="110" hidden="1">
      <c r="A110" s="1">
        <v>3.0</v>
      </c>
      <c r="B110" s="11">
        <v>0.029861111111111113</v>
      </c>
      <c r="C110" s="1">
        <v>56.0</v>
      </c>
      <c r="D110" s="1">
        <v>261.0</v>
      </c>
      <c r="E110" s="1">
        <v>155.0</v>
      </c>
      <c r="F110" s="1" t="b">
        <v>0</v>
      </c>
      <c r="G110" s="1" t="s">
        <v>325</v>
      </c>
      <c r="H110" s="1" t="s">
        <v>283</v>
      </c>
      <c r="I110" s="1">
        <v>350.0</v>
      </c>
      <c r="J110" s="1">
        <v>53.0</v>
      </c>
      <c r="K110" s="1"/>
    </row>
    <row r="111" hidden="1">
      <c r="A111" s="1">
        <v>4.0</v>
      </c>
      <c r="B111" s="11">
        <v>0.05416666666666667</v>
      </c>
      <c r="C111" s="1">
        <v>76.0</v>
      </c>
      <c r="D111" s="1">
        <v>261.0</v>
      </c>
      <c r="E111" s="1">
        <v>155.0</v>
      </c>
      <c r="F111" s="1" t="b">
        <v>1</v>
      </c>
      <c r="G111" s="1" t="s">
        <v>282</v>
      </c>
      <c r="H111" s="1" t="s">
        <v>283</v>
      </c>
      <c r="I111" s="1">
        <v>513.0</v>
      </c>
      <c r="J111" s="1">
        <v>196.0</v>
      </c>
      <c r="K111" s="1"/>
    </row>
    <row r="112" hidden="1">
      <c r="A112" s="1">
        <v>7.0</v>
      </c>
      <c r="B112" s="11">
        <v>0.07847222222222222</v>
      </c>
      <c r="C112" s="1">
        <v>36.0</v>
      </c>
      <c r="D112" s="1">
        <v>261.0</v>
      </c>
      <c r="E112" s="1">
        <v>211.0</v>
      </c>
      <c r="F112" s="1" t="b">
        <v>0</v>
      </c>
      <c r="G112" s="1" t="s">
        <v>325</v>
      </c>
      <c r="H112" s="1" t="s">
        <v>283</v>
      </c>
      <c r="I112" s="1">
        <v>338.0</v>
      </c>
      <c r="J112" s="1">
        <v>279.0</v>
      </c>
      <c r="K112" s="1"/>
    </row>
    <row r="113" hidden="1">
      <c r="A113" s="1">
        <v>9.0</v>
      </c>
      <c r="B113" s="11">
        <v>0.08958333333333333</v>
      </c>
      <c r="C113" s="1">
        <v>44.0</v>
      </c>
      <c r="D113" s="1">
        <v>261.0</v>
      </c>
      <c r="E113" s="1">
        <v>155.0</v>
      </c>
      <c r="F113" s="1" t="s">
        <v>324</v>
      </c>
      <c r="G113" s="1" t="s">
        <v>273</v>
      </c>
      <c r="H113" s="1" t="s">
        <v>283</v>
      </c>
      <c r="I113" s="1">
        <v>387.0</v>
      </c>
      <c r="J113" s="1">
        <v>79.0</v>
      </c>
      <c r="K113" s="1">
        <v>91.0</v>
      </c>
    </row>
    <row r="114" hidden="1">
      <c r="A114" s="1">
        <v>11.0</v>
      </c>
      <c r="B114" s="11">
        <v>0.09375</v>
      </c>
      <c r="C114" s="1">
        <v>44.0</v>
      </c>
      <c r="D114" s="1">
        <v>261.0</v>
      </c>
      <c r="E114" s="1">
        <v>155.0</v>
      </c>
      <c r="F114" s="1" t="b">
        <v>0</v>
      </c>
      <c r="G114" s="1" t="s">
        <v>325</v>
      </c>
      <c r="H114" s="1" t="s">
        <v>277</v>
      </c>
      <c r="I114" s="1">
        <v>411.0</v>
      </c>
      <c r="J114" s="1">
        <v>84.0</v>
      </c>
      <c r="K114" s="1"/>
    </row>
    <row r="115" hidden="1">
      <c r="A115" s="1">
        <v>12.0</v>
      </c>
      <c r="B115" s="11">
        <v>0.09652777777777778</v>
      </c>
      <c r="C115" s="1">
        <v>317.0</v>
      </c>
      <c r="D115" s="1">
        <v>261.0</v>
      </c>
      <c r="E115" s="1">
        <v>155.0</v>
      </c>
      <c r="F115" s="1" t="b">
        <v>0</v>
      </c>
      <c r="G115" s="1" t="s">
        <v>288</v>
      </c>
      <c r="H115" s="1" t="s">
        <v>286</v>
      </c>
      <c r="I115" s="1">
        <v>540.0</v>
      </c>
      <c r="J115" s="1">
        <v>183.0</v>
      </c>
      <c r="K115" s="1"/>
    </row>
    <row r="116" hidden="1">
      <c r="A116" s="1">
        <v>14.0</v>
      </c>
      <c r="B116" s="11">
        <v>0.10625</v>
      </c>
      <c r="C116" s="1">
        <v>65.0</v>
      </c>
      <c r="D116" s="1">
        <v>261.0</v>
      </c>
      <c r="E116" s="1">
        <v>155.0</v>
      </c>
      <c r="F116" s="1" t="s">
        <v>324</v>
      </c>
      <c r="G116" s="1" t="s">
        <v>273</v>
      </c>
      <c r="H116" s="1" t="s">
        <v>283</v>
      </c>
      <c r="I116" s="1">
        <v>403.0</v>
      </c>
      <c r="J116" s="1">
        <v>109.0</v>
      </c>
      <c r="K116" s="1">
        <v>2.0</v>
      </c>
    </row>
    <row r="117" hidden="1">
      <c r="A117" s="1">
        <v>16.0</v>
      </c>
      <c r="B117" s="11">
        <v>0.12083333333333333</v>
      </c>
      <c r="C117" s="1">
        <v>65.0</v>
      </c>
      <c r="D117" s="1">
        <v>261.0</v>
      </c>
      <c r="E117" s="1">
        <v>155.0</v>
      </c>
      <c r="F117" s="1" t="b">
        <v>1</v>
      </c>
      <c r="G117" s="1" t="s">
        <v>282</v>
      </c>
      <c r="H117" s="1" t="s">
        <v>283</v>
      </c>
      <c r="I117" s="1">
        <v>531.0</v>
      </c>
      <c r="J117" s="1">
        <v>181.0</v>
      </c>
      <c r="K117" s="1"/>
    </row>
    <row r="118" hidden="1">
      <c r="A118" s="1">
        <v>21.0</v>
      </c>
      <c r="B118" s="11">
        <v>0.1701388888888889</v>
      </c>
      <c r="C118" s="1">
        <v>200.0</v>
      </c>
      <c r="D118" s="1">
        <v>261.0</v>
      </c>
      <c r="E118" s="1">
        <v>155.0</v>
      </c>
      <c r="F118" s="1" t="s">
        <v>324</v>
      </c>
      <c r="G118" s="1" t="s">
        <v>273</v>
      </c>
      <c r="H118" s="1" t="s">
        <v>283</v>
      </c>
      <c r="I118" s="1">
        <v>490.0</v>
      </c>
      <c r="J118" s="1">
        <v>273.0</v>
      </c>
      <c r="K118" s="1">
        <v>208.0</v>
      </c>
    </row>
    <row r="119" hidden="1">
      <c r="A119" s="1">
        <v>22.0</v>
      </c>
      <c r="B119" s="11">
        <v>0.1763888888888889</v>
      </c>
      <c r="C119" s="1">
        <v>316.0</v>
      </c>
      <c r="D119" s="1">
        <v>261.0</v>
      </c>
      <c r="E119" s="1">
        <v>155.0</v>
      </c>
      <c r="F119" s="1" t="b">
        <v>0</v>
      </c>
      <c r="G119" s="1" t="s">
        <v>288</v>
      </c>
      <c r="H119" s="1" t="s">
        <v>327</v>
      </c>
      <c r="I119" s="1">
        <v>525.0</v>
      </c>
      <c r="J119" s="1">
        <v>134.0</v>
      </c>
      <c r="K119" s="1"/>
    </row>
    <row r="120" hidden="1">
      <c r="A120" s="1">
        <v>24.0</v>
      </c>
      <c r="B120" s="11">
        <v>0.22291666666666668</v>
      </c>
      <c r="C120" s="1">
        <v>86.0</v>
      </c>
      <c r="D120" s="1">
        <v>261.0</v>
      </c>
      <c r="E120" s="1">
        <v>155.0</v>
      </c>
      <c r="F120" s="1" t="b">
        <v>0</v>
      </c>
      <c r="G120" s="1" t="s">
        <v>288</v>
      </c>
      <c r="H120" s="1" t="s">
        <v>274</v>
      </c>
      <c r="I120" s="1">
        <v>511.0</v>
      </c>
      <c r="J120" s="1">
        <v>183.0</v>
      </c>
      <c r="K120" s="1"/>
    </row>
    <row r="121" hidden="1">
      <c r="A121" s="1">
        <v>25.0</v>
      </c>
      <c r="B121" s="11">
        <v>0.24583333333333332</v>
      </c>
      <c r="C121" s="1">
        <v>63.0</v>
      </c>
      <c r="D121" s="1">
        <v>261.0</v>
      </c>
      <c r="E121" s="1">
        <v>155.0</v>
      </c>
      <c r="F121" s="1" t="b">
        <v>0</v>
      </c>
      <c r="G121" s="1" t="s">
        <v>325</v>
      </c>
      <c r="H121" s="1" t="s">
        <v>283</v>
      </c>
      <c r="I121" s="1">
        <v>453.0</v>
      </c>
      <c r="J121" s="1">
        <v>201.0</v>
      </c>
      <c r="K121" s="1"/>
    </row>
    <row r="122" hidden="1">
      <c r="A122" s="1">
        <v>27.0</v>
      </c>
      <c r="B122" s="11">
        <v>0.25833333333333336</v>
      </c>
      <c r="C122" s="1">
        <v>138.0</v>
      </c>
      <c r="D122" s="1">
        <v>261.0</v>
      </c>
      <c r="E122" s="1">
        <v>211.0</v>
      </c>
      <c r="F122" s="1" t="s">
        <v>324</v>
      </c>
      <c r="G122" s="1" t="s">
        <v>326</v>
      </c>
      <c r="H122" s="1" t="s">
        <v>283</v>
      </c>
      <c r="I122" s="1">
        <v>136.0</v>
      </c>
      <c r="J122" s="1">
        <v>153.0</v>
      </c>
      <c r="K122" s="1">
        <v>200.0</v>
      </c>
    </row>
    <row r="123" hidden="1">
      <c r="A123" s="1">
        <v>28.0</v>
      </c>
      <c r="B123" s="11">
        <v>0.26319444444444445</v>
      </c>
      <c r="C123" s="1">
        <v>142.0</v>
      </c>
      <c r="D123" s="1">
        <v>261.0</v>
      </c>
      <c r="E123" s="1">
        <v>211.0</v>
      </c>
      <c r="F123" s="1" t="b">
        <v>0</v>
      </c>
      <c r="G123" s="1" t="s">
        <v>288</v>
      </c>
      <c r="H123" s="1" t="s">
        <v>283</v>
      </c>
      <c r="I123" s="1">
        <v>47.0</v>
      </c>
      <c r="J123" s="1">
        <v>135.0</v>
      </c>
      <c r="K123" s="1"/>
    </row>
    <row r="124" hidden="1">
      <c r="A124" s="1">
        <v>29.0</v>
      </c>
      <c r="B124" s="11">
        <v>0.26319444444444445</v>
      </c>
      <c r="C124" s="1">
        <v>49.0</v>
      </c>
      <c r="D124" s="1">
        <v>261.0</v>
      </c>
      <c r="E124" s="1">
        <v>211.0</v>
      </c>
      <c r="F124" s="1" t="b">
        <v>0</v>
      </c>
      <c r="G124" s="1" t="s">
        <v>288</v>
      </c>
      <c r="H124" s="1" t="s">
        <v>283</v>
      </c>
      <c r="I124" s="1">
        <v>56.0</v>
      </c>
      <c r="J124" s="1">
        <v>135.0</v>
      </c>
      <c r="K124" s="1"/>
    </row>
    <row r="125" hidden="1">
      <c r="A125" s="1">
        <v>32.0</v>
      </c>
      <c r="B125" s="11">
        <v>0.29097222222222224</v>
      </c>
      <c r="C125" s="1">
        <v>210.0</v>
      </c>
      <c r="D125" s="1">
        <v>261.0</v>
      </c>
      <c r="E125" s="1">
        <v>211.0</v>
      </c>
      <c r="F125" s="1" t="b">
        <v>0</v>
      </c>
      <c r="G125" s="1" t="s">
        <v>288</v>
      </c>
      <c r="H125" s="1" t="s">
        <v>283</v>
      </c>
      <c r="I125" s="1">
        <v>93.0</v>
      </c>
      <c r="J125" s="1">
        <v>99.0</v>
      </c>
      <c r="K125" s="1"/>
    </row>
    <row r="126" hidden="1">
      <c r="A126" s="1">
        <v>33.0</v>
      </c>
      <c r="B126" s="11">
        <v>0.3</v>
      </c>
      <c r="C126" s="1">
        <v>196.0</v>
      </c>
      <c r="D126" s="1">
        <v>261.0</v>
      </c>
      <c r="E126" s="1">
        <v>211.0</v>
      </c>
      <c r="F126" s="1" t="b">
        <v>0</v>
      </c>
      <c r="G126" s="1" t="s">
        <v>325</v>
      </c>
      <c r="H126" s="1" t="s">
        <v>327</v>
      </c>
      <c r="I126" s="1">
        <v>217.0</v>
      </c>
      <c r="J126" s="1">
        <v>48.0</v>
      </c>
      <c r="K126" s="1"/>
    </row>
    <row r="127" hidden="1">
      <c r="A127" s="1">
        <v>37.0</v>
      </c>
      <c r="B127" s="11">
        <v>0.34652777777777777</v>
      </c>
      <c r="C127" s="1">
        <v>200.0</v>
      </c>
      <c r="D127" s="1">
        <v>261.0</v>
      </c>
      <c r="E127" s="1">
        <v>155.0</v>
      </c>
      <c r="F127" s="1" t="s">
        <v>324</v>
      </c>
      <c r="G127" s="1" t="s">
        <v>273</v>
      </c>
      <c r="H127" s="1" t="s">
        <v>277</v>
      </c>
      <c r="I127" s="1">
        <v>430.0</v>
      </c>
      <c r="J127" s="1">
        <v>185.0</v>
      </c>
      <c r="K127" s="1">
        <v>13.0</v>
      </c>
    </row>
    <row r="128" hidden="1">
      <c r="A128" s="1">
        <v>38.0</v>
      </c>
      <c r="B128" s="11">
        <v>0.34652777777777777</v>
      </c>
      <c r="C128" s="1">
        <v>200.0</v>
      </c>
      <c r="D128" s="1">
        <v>261.0</v>
      </c>
      <c r="E128" s="1">
        <v>155.0</v>
      </c>
      <c r="F128" s="1" t="s">
        <v>324</v>
      </c>
      <c r="G128" s="1" t="s">
        <v>273</v>
      </c>
      <c r="H128" s="1" t="s">
        <v>277</v>
      </c>
      <c r="I128" s="1">
        <v>455.0</v>
      </c>
      <c r="J128" s="1">
        <v>237.0</v>
      </c>
      <c r="K128" s="1">
        <v>13.0</v>
      </c>
    </row>
    <row r="129" hidden="1">
      <c r="A129" s="1">
        <v>39.0</v>
      </c>
      <c r="B129" s="11">
        <v>0.3548611111111111</v>
      </c>
      <c r="C129" s="1">
        <v>91.0</v>
      </c>
      <c r="D129" s="1">
        <v>261.0</v>
      </c>
      <c r="E129" s="1">
        <v>211.0</v>
      </c>
      <c r="F129" s="1" t="b">
        <v>0</v>
      </c>
      <c r="G129" s="1" t="s">
        <v>325</v>
      </c>
      <c r="H129" s="1" t="s">
        <v>283</v>
      </c>
      <c r="I129" s="1">
        <v>60.0</v>
      </c>
      <c r="J129" s="1">
        <v>197.0</v>
      </c>
      <c r="K129" s="1"/>
    </row>
    <row r="130" hidden="1">
      <c r="A130" s="1">
        <v>40.0</v>
      </c>
      <c r="B130" s="11">
        <v>0.36041666666666666</v>
      </c>
      <c r="C130" s="1">
        <v>2.0</v>
      </c>
      <c r="D130" s="1">
        <v>261.0</v>
      </c>
      <c r="E130" s="1">
        <v>211.0</v>
      </c>
      <c r="F130" s="1" t="b">
        <v>0</v>
      </c>
      <c r="G130" s="1" t="s">
        <v>325</v>
      </c>
      <c r="H130" s="1" t="s">
        <v>274</v>
      </c>
      <c r="I130" s="1">
        <v>206.0</v>
      </c>
      <c r="J130" s="1">
        <v>57.0</v>
      </c>
      <c r="K130" s="1"/>
    </row>
    <row r="131" hidden="1">
      <c r="A131" s="1">
        <v>43.0</v>
      </c>
      <c r="B131" s="11">
        <v>0.38333333333333336</v>
      </c>
      <c r="C131" s="1">
        <v>44.0</v>
      </c>
      <c r="D131" s="1">
        <v>261.0</v>
      </c>
      <c r="E131" s="1">
        <v>155.0</v>
      </c>
      <c r="F131" s="1" t="b">
        <v>0</v>
      </c>
      <c r="G131" s="1" t="s">
        <v>325</v>
      </c>
      <c r="H131" s="1" t="s">
        <v>283</v>
      </c>
      <c r="I131" s="1">
        <v>440.0</v>
      </c>
      <c r="J131" s="1">
        <v>56.0</v>
      </c>
      <c r="K131" s="1"/>
    </row>
    <row r="132" hidden="1">
      <c r="A132" s="1">
        <v>47.0</v>
      </c>
      <c r="B132" s="11">
        <v>0.4111111111111111</v>
      </c>
      <c r="C132" s="1">
        <v>13.0</v>
      </c>
      <c r="D132" s="1">
        <v>261.0</v>
      </c>
      <c r="E132" s="1">
        <v>211.0</v>
      </c>
      <c r="F132" s="1" t="b">
        <v>1</v>
      </c>
      <c r="G132" s="1" t="s">
        <v>276</v>
      </c>
      <c r="H132" s="1" t="s">
        <v>283</v>
      </c>
      <c r="I132" s="1">
        <v>48.0</v>
      </c>
      <c r="J132" s="1">
        <v>178.0</v>
      </c>
      <c r="K132" s="1"/>
    </row>
    <row r="133" hidden="1">
      <c r="A133" s="1">
        <v>51.0</v>
      </c>
      <c r="B133" s="11">
        <v>0.45416666666666666</v>
      </c>
      <c r="C133" s="1">
        <v>138.0</v>
      </c>
      <c r="D133" s="1">
        <v>261.0</v>
      </c>
      <c r="E133" s="1">
        <v>211.0</v>
      </c>
      <c r="F133" s="1" t="s">
        <v>324</v>
      </c>
      <c r="G133" s="1" t="s">
        <v>273</v>
      </c>
      <c r="H133" s="1" t="s">
        <v>286</v>
      </c>
      <c r="I133" s="1">
        <v>70.0</v>
      </c>
      <c r="J133" s="1">
        <v>99.0</v>
      </c>
      <c r="K133" s="1">
        <v>76.0</v>
      </c>
    </row>
    <row r="134" hidden="1">
      <c r="A134" s="1">
        <v>53.0</v>
      </c>
      <c r="B134" s="11">
        <v>0.4951388888888889</v>
      </c>
      <c r="C134" s="1">
        <v>44.0</v>
      </c>
      <c r="D134" s="1">
        <v>261.0</v>
      </c>
      <c r="E134" s="1">
        <v>155.0</v>
      </c>
      <c r="F134" s="1" t="s">
        <v>324</v>
      </c>
      <c r="G134" s="1" t="s">
        <v>273</v>
      </c>
      <c r="H134" s="1" t="s">
        <v>283</v>
      </c>
      <c r="I134" s="1">
        <v>424.0</v>
      </c>
      <c r="J134" s="1">
        <v>148.0</v>
      </c>
      <c r="K134" s="1">
        <v>49.0</v>
      </c>
    </row>
    <row r="135" hidden="1">
      <c r="A135" s="1">
        <v>54.0</v>
      </c>
      <c r="B135" s="11">
        <v>0.5034722222222222</v>
      </c>
      <c r="C135" s="1">
        <v>44.0</v>
      </c>
      <c r="D135" s="1">
        <v>261.0</v>
      </c>
      <c r="E135" s="1">
        <v>155.0</v>
      </c>
      <c r="F135" s="1" t="s">
        <v>324</v>
      </c>
      <c r="G135" s="1" t="s">
        <v>273</v>
      </c>
      <c r="H135" s="1" t="s">
        <v>283</v>
      </c>
      <c r="I135" s="1">
        <v>440.0</v>
      </c>
      <c r="J135" s="1">
        <v>243.0</v>
      </c>
      <c r="K135" s="1">
        <v>49.0</v>
      </c>
    </row>
    <row r="136" hidden="1">
      <c r="A136" s="1">
        <v>55.0</v>
      </c>
      <c r="B136" s="11">
        <v>0.5229166666666667</v>
      </c>
      <c r="C136" s="1">
        <v>244.0</v>
      </c>
      <c r="D136" s="1">
        <v>261.0</v>
      </c>
      <c r="E136" s="1">
        <v>155.0</v>
      </c>
      <c r="F136" s="1" t="b">
        <v>0</v>
      </c>
      <c r="G136" s="1" t="s">
        <v>288</v>
      </c>
      <c r="H136" s="1" t="s">
        <v>283</v>
      </c>
      <c r="I136" s="1">
        <v>525.0</v>
      </c>
      <c r="J136" s="1">
        <v>170.0</v>
      </c>
      <c r="K136" s="1"/>
    </row>
    <row r="137" hidden="1">
      <c r="A137" s="1">
        <v>56.0</v>
      </c>
      <c r="B137" s="11">
        <v>0.5520833333333334</v>
      </c>
      <c r="C137" s="1">
        <v>63.0</v>
      </c>
      <c r="D137" s="1">
        <v>261.0</v>
      </c>
      <c r="E137" s="1">
        <v>155.0</v>
      </c>
      <c r="F137" s="1" t="s">
        <v>324</v>
      </c>
      <c r="G137" s="1" t="s">
        <v>273</v>
      </c>
      <c r="H137" s="1" t="s">
        <v>283</v>
      </c>
      <c r="I137" s="1">
        <v>453.0</v>
      </c>
      <c r="J137" s="1">
        <v>117.0</v>
      </c>
      <c r="K137" s="1">
        <v>294.0</v>
      </c>
    </row>
    <row r="138" hidden="1">
      <c r="A138" s="1">
        <v>57.0</v>
      </c>
      <c r="B138" s="11">
        <v>0.5756944444444444</v>
      </c>
      <c r="C138" s="1">
        <v>181.0</v>
      </c>
      <c r="D138" s="1">
        <v>261.0</v>
      </c>
      <c r="E138" s="1">
        <v>211.0</v>
      </c>
      <c r="F138" s="1" t="b">
        <v>1</v>
      </c>
      <c r="G138" s="1" t="s">
        <v>276</v>
      </c>
      <c r="H138" s="1" t="s">
        <v>290</v>
      </c>
      <c r="I138" s="1">
        <v>39.0</v>
      </c>
      <c r="J138" s="1">
        <v>165.0</v>
      </c>
      <c r="K138" s="1"/>
    </row>
    <row r="139" hidden="1">
      <c r="A139" s="1">
        <v>63.0</v>
      </c>
      <c r="B139" s="11">
        <v>0.6743055555555556</v>
      </c>
      <c r="C139" s="1">
        <v>196.0</v>
      </c>
      <c r="D139" s="1">
        <v>261.0</v>
      </c>
      <c r="E139" s="1">
        <v>211.0</v>
      </c>
      <c r="F139" s="1" t="s">
        <v>324</v>
      </c>
      <c r="G139" s="1" t="s">
        <v>273</v>
      </c>
      <c r="H139" s="1" t="s">
        <v>283</v>
      </c>
      <c r="I139" s="1">
        <v>205.0</v>
      </c>
      <c r="J139" s="1">
        <v>11.0</v>
      </c>
      <c r="K139" s="1">
        <v>244.0</v>
      </c>
    </row>
    <row r="140" hidden="1">
      <c r="A140" s="1">
        <v>65.0</v>
      </c>
      <c r="B140" s="11">
        <v>0.7159722222222222</v>
      </c>
      <c r="C140" s="1">
        <v>65.0</v>
      </c>
      <c r="D140" s="1">
        <v>261.0</v>
      </c>
      <c r="E140" s="1">
        <v>155.0</v>
      </c>
      <c r="F140" s="1" t="b">
        <v>0</v>
      </c>
      <c r="G140" s="1" t="s">
        <v>288</v>
      </c>
      <c r="H140" s="1" t="s">
        <v>283</v>
      </c>
      <c r="I140" s="1">
        <v>542.0</v>
      </c>
      <c r="J140" s="1">
        <v>134.0</v>
      </c>
      <c r="K140" s="1"/>
    </row>
    <row r="141" hidden="1">
      <c r="A141" s="1">
        <v>66.0</v>
      </c>
      <c r="B141" s="11">
        <v>0.7222222222222222</v>
      </c>
      <c r="C141" s="1">
        <v>68.0</v>
      </c>
      <c r="D141" s="1">
        <v>261.0</v>
      </c>
      <c r="E141" s="1">
        <v>155.0</v>
      </c>
      <c r="F141" s="1" t="s">
        <v>324</v>
      </c>
      <c r="G141" s="1" t="s">
        <v>273</v>
      </c>
      <c r="H141" s="1" t="s">
        <v>283</v>
      </c>
      <c r="I141" s="1">
        <v>400.0</v>
      </c>
      <c r="J141" s="1">
        <v>211.0</v>
      </c>
      <c r="K141" s="1">
        <v>34.0</v>
      </c>
    </row>
    <row r="142" hidden="1">
      <c r="A142" s="1">
        <v>67.0</v>
      </c>
      <c r="B142" s="11">
        <v>0.7347222222222223</v>
      </c>
      <c r="C142" s="1">
        <v>34.0</v>
      </c>
      <c r="D142" s="1">
        <v>261.0</v>
      </c>
      <c r="E142" s="1">
        <v>211.0</v>
      </c>
      <c r="F142" s="1" t="b">
        <v>0</v>
      </c>
      <c r="G142" s="1" t="s">
        <v>288</v>
      </c>
      <c r="H142" s="1" t="s">
        <v>327</v>
      </c>
      <c r="I142" s="1">
        <v>81.0</v>
      </c>
      <c r="J142" s="1">
        <v>131.0</v>
      </c>
      <c r="K142" s="1"/>
    </row>
    <row r="143" hidden="1">
      <c r="A143" s="1">
        <v>68.0</v>
      </c>
      <c r="B143" s="11">
        <v>0.7444444444444445</v>
      </c>
      <c r="C143" s="1">
        <v>13.0</v>
      </c>
      <c r="D143" s="1">
        <v>261.0</v>
      </c>
      <c r="E143" s="1">
        <v>211.0</v>
      </c>
      <c r="F143" s="1" t="b">
        <v>0</v>
      </c>
      <c r="G143" s="1" t="s">
        <v>288</v>
      </c>
      <c r="H143" s="1" t="s">
        <v>283</v>
      </c>
      <c r="I143" s="1">
        <v>88.0</v>
      </c>
      <c r="J143" s="1">
        <v>202.0</v>
      </c>
      <c r="K143" s="1"/>
    </row>
    <row r="144" hidden="1">
      <c r="A144" s="1">
        <v>70.0</v>
      </c>
      <c r="B144" s="11">
        <v>0.78125</v>
      </c>
      <c r="C144" s="1">
        <v>100.0</v>
      </c>
      <c r="D144" s="1">
        <v>261.0</v>
      </c>
      <c r="E144" s="1">
        <v>155.0</v>
      </c>
      <c r="F144" s="1" t="b">
        <v>0</v>
      </c>
      <c r="G144" s="1" t="s">
        <v>288</v>
      </c>
      <c r="H144" s="1" t="s">
        <v>283</v>
      </c>
      <c r="I144" s="1">
        <v>501.0</v>
      </c>
      <c r="J144" s="1">
        <v>91.0</v>
      </c>
      <c r="K144" s="1"/>
    </row>
    <row r="145" hidden="1">
      <c r="A145" s="1">
        <v>71.0</v>
      </c>
      <c r="B145" s="11">
        <v>0.8076388888888889</v>
      </c>
      <c r="C145" s="1">
        <v>181.0</v>
      </c>
      <c r="D145" s="1">
        <v>261.0</v>
      </c>
      <c r="E145" s="1">
        <v>211.0</v>
      </c>
      <c r="F145" s="1" t="b">
        <v>0</v>
      </c>
      <c r="G145" s="1" t="s">
        <v>288</v>
      </c>
      <c r="H145" s="1" t="s">
        <v>286</v>
      </c>
      <c r="I145" s="1">
        <v>83.0</v>
      </c>
      <c r="J145" s="1">
        <v>127.0</v>
      </c>
      <c r="K145" s="1"/>
    </row>
    <row r="146" hidden="1">
      <c r="A146" s="1">
        <v>73.0</v>
      </c>
      <c r="B146" s="11">
        <v>0.8222222222222222</v>
      </c>
      <c r="C146" s="1">
        <v>67.0</v>
      </c>
      <c r="D146" s="1">
        <v>261.0</v>
      </c>
      <c r="E146" s="1">
        <v>155.0</v>
      </c>
      <c r="F146" s="1" t="s">
        <v>324</v>
      </c>
      <c r="G146" s="1" t="s">
        <v>273</v>
      </c>
      <c r="H146" s="1" t="s">
        <v>327</v>
      </c>
      <c r="I146" s="1">
        <v>378.0</v>
      </c>
      <c r="J146" s="1">
        <v>205.0</v>
      </c>
      <c r="K146" s="1">
        <v>208.0</v>
      </c>
    </row>
    <row r="147" hidden="1">
      <c r="A147" s="1">
        <v>76.0</v>
      </c>
      <c r="B147" s="11">
        <v>0.02361111111111111</v>
      </c>
      <c r="C147" s="1">
        <v>294.0</v>
      </c>
      <c r="D147" s="1">
        <v>261.0</v>
      </c>
      <c r="E147" s="1">
        <v>211.0</v>
      </c>
      <c r="F147" s="1" t="b">
        <v>0</v>
      </c>
      <c r="G147" s="1" t="s">
        <v>325</v>
      </c>
      <c r="H147" s="1" t="s">
        <v>277</v>
      </c>
      <c r="I147" s="1">
        <v>175.0</v>
      </c>
      <c r="J147" s="1">
        <v>5.0</v>
      </c>
      <c r="K147" s="1"/>
    </row>
    <row r="148" hidden="1">
      <c r="A148" s="1">
        <v>77.0</v>
      </c>
      <c r="B148" s="11">
        <v>0.0625</v>
      </c>
      <c r="C148" s="1">
        <v>66.0</v>
      </c>
      <c r="D148" s="1">
        <v>261.0</v>
      </c>
      <c r="E148" s="1">
        <v>155.0</v>
      </c>
      <c r="F148" s="1" t="b">
        <v>0</v>
      </c>
      <c r="G148" s="1" t="s">
        <v>325</v>
      </c>
      <c r="H148" s="1" t="s">
        <v>283</v>
      </c>
      <c r="I148" s="1">
        <v>454.0</v>
      </c>
      <c r="J148" s="1">
        <v>194.0</v>
      </c>
      <c r="K148" s="1"/>
    </row>
    <row r="149" hidden="1">
      <c r="A149" s="1">
        <v>78.0</v>
      </c>
      <c r="B149" s="11">
        <v>0.06805555555555555</v>
      </c>
      <c r="C149" s="1">
        <v>56.0</v>
      </c>
      <c r="D149" s="1">
        <v>261.0</v>
      </c>
      <c r="E149" s="1">
        <v>155.0</v>
      </c>
      <c r="F149" s="1" t="b">
        <v>0</v>
      </c>
      <c r="G149" s="1" t="s">
        <v>325</v>
      </c>
      <c r="H149" s="1" t="s">
        <v>283</v>
      </c>
      <c r="I149" s="1">
        <v>417.0</v>
      </c>
      <c r="J149" s="1">
        <v>96.0</v>
      </c>
      <c r="K149" s="1"/>
    </row>
    <row r="150" hidden="1">
      <c r="A150" s="1">
        <v>79.0</v>
      </c>
      <c r="B150" s="11">
        <v>0.07083333333333333</v>
      </c>
      <c r="C150" s="1">
        <v>66.0</v>
      </c>
      <c r="D150" s="1">
        <v>261.0</v>
      </c>
      <c r="E150" s="1">
        <v>155.0</v>
      </c>
      <c r="F150" s="1" t="b">
        <v>0</v>
      </c>
      <c r="G150" s="1" t="s">
        <v>325</v>
      </c>
      <c r="H150" s="1" t="s">
        <v>283</v>
      </c>
      <c r="I150" s="1">
        <v>537.0</v>
      </c>
      <c r="J150" s="1">
        <v>195.0</v>
      </c>
      <c r="K150" s="1"/>
    </row>
    <row r="151" hidden="1">
      <c r="A151" s="1">
        <v>81.0</v>
      </c>
      <c r="B151" s="11">
        <v>0.07430555555555556</v>
      </c>
      <c r="C151" s="1">
        <v>66.0</v>
      </c>
      <c r="D151" s="1">
        <v>261.0</v>
      </c>
      <c r="E151" s="1">
        <v>155.0</v>
      </c>
      <c r="F151" s="1" t="s">
        <v>324</v>
      </c>
      <c r="G151" s="1" t="s">
        <v>326</v>
      </c>
      <c r="H151" s="1" t="s">
        <v>283</v>
      </c>
      <c r="I151" s="1">
        <v>462.0</v>
      </c>
      <c r="J151" s="1">
        <v>188.0</v>
      </c>
      <c r="K151" s="1">
        <v>138.0</v>
      </c>
    </row>
    <row r="152" hidden="1">
      <c r="A152" s="1">
        <v>83.0</v>
      </c>
      <c r="B152" s="11">
        <v>0.1388888888888889</v>
      </c>
      <c r="C152" s="1">
        <v>86.0</v>
      </c>
      <c r="D152" s="1">
        <v>261.0</v>
      </c>
      <c r="E152" s="1">
        <v>155.0</v>
      </c>
      <c r="F152" s="1" t="s">
        <v>324</v>
      </c>
      <c r="G152" s="1" t="s">
        <v>273</v>
      </c>
      <c r="H152" s="1" t="s">
        <v>283</v>
      </c>
      <c r="I152" s="1">
        <v>522.0</v>
      </c>
      <c r="J152" s="1">
        <v>210.0</v>
      </c>
      <c r="K152" s="1">
        <v>196.0</v>
      </c>
    </row>
    <row r="153" hidden="1">
      <c r="A153" s="1">
        <v>86.0</v>
      </c>
      <c r="B153" s="11">
        <v>0.17708333333333334</v>
      </c>
      <c r="C153" s="1">
        <v>181.0</v>
      </c>
      <c r="D153" s="1">
        <v>261.0</v>
      </c>
      <c r="E153" s="1">
        <v>211.0</v>
      </c>
      <c r="F153" s="1" t="b">
        <v>0</v>
      </c>
      <c r="G153" s="1" t="s">
        <v>325</v>
      </c>
      <c r="H153" s="1" t="s">
        <v>286</v>
      </c>
      <c r="I153" s="1">
        <v>45.0</v>
      </c>
      <c r="J153" s="1">
        <v>103.0</v>
      </c>
      <c r="K153" s="1"/>
    </row>
    <row r="154">
      <c r="A154" s="1">
        <v>88.0</v>
      </c>
      <c r="B154" s="11">
        <v>0.18125</v>
      </c>
      <c r="C154" s="1">
        <v>210.0</v>
      </c>
      <c r="D154" s="1">
        <v>261.0</v>
      </c>
      <c r="E154" s="1">
        <v>211.0</v>
      </c>
      <c r="F154" s="1" t="b">
        <v>1</v>
      </c>
      <c r="G154" s="1" t="s">
        <v>282</v>
      </c>
      <c r="H154" s="1" t="s">
        <v>274</v>
      </c>
      <c r="I154" s="1">
        <v>86.0</v>
      </c>
      <c r="J154" s="1">
        <v>143.0</v>
      </c>
      <c r="K154" s="1"/>
    </row>
    <row r="155" hidden="1">
      <c r="A155" s="1">
        <v>92.0</v>
      </c>
      <c r="B155" s="11">
        <v>0.1986111111111111</v>
      </c>
      <c r="C155" s="1">
        <v>210.0</v>
      </c>
      <c r="D155" s="1">
        <v>261.0</v>
      </c>
      <c r="E155" s="1">
        <v>211.0</v>
      </c>
      <c r="F155" s="1" t="b">
        <v>0</v>
      </c>
      <c r="G155" s="1" t="s">
        <v>288</v>
      </c>
      <c r="H155" s="1" t="s">
        <v>283</v>
      </c>
      <c r="I155" s="1">
        <v>70.0</v>
      </c>
      <c r="J155" s="1">
        <v>177.0</v>
      </c>
      <c r="K155" s="1"/>
    </row>
    <row r="156" hidden="1">
      <c r="A156" s="1">
        <v>93.0</v>
      </c>
      <c r="B156" s="11">
        <v>0.1986111111111111</v>
      </c>
      <c r="C156" s="1">
        <v>210.0</v>
      </c>
      <c r="D156" s="1">
        <v>261.0</v>
      </c>
      <c r="E156" s="1">
        <v>211.0</v>
      </c>
      <c r="F156" s="1" t="b">
        <v>0</v>
      </c>
      <c r="G156" s="1" t="s">
        <v>288</v>
      </c>
      <c r="H156" s="1" t="s">
        <v>283</v>
      </c>
      <c r="I156" s="1">
        <v>51.0</v>
      </c>
      <c r="J156" s="1">
        <v>164.0</v>
      </c>
      <c r="K156" s="1"/>
    </row>
    <row r="157" hidden="1">
      <c r="A157" s="1">
        <v>95.0</v>
      </c>
      <c r="B157" s="11">
        <v>0.23333333333333334</v>
      </c>
      <c r="C157" s="1">
        <v>203.0</v>
      </c>
      <c r="D157" s="1">
        <v>261.0</v>
      </c>
      <c r="E157" s="1">
        <v>211.0</v>
      </c>
      <c r="F157" s="1" t="b">
        <v>0</v>
      </c>
      <c r="G157" s="1" t="s">
        <v>325</v>
      </c>
      <c r="H157" s="1" t="s">
        <v>283</v>
      </c>
      <c r="I157" s="1">
        <v>210.0</v>
      </c>
      <c r="J157" s="1">
        <v>214.0</v>
      </c>
      <c r="K157" s="1"/>
    </row>
    <row r="158" hidden="1">
      <c r="A158" s="1">
        <v>96.0</v>
      </c>
      <c r="B158" s="11">
        <v>0.24097222222222223</v>
      </c>
      <c r="C158" s="1">
        <v>244.0</v>
      </c>
      <c r="D158" s="1">
        <v>261.0</v>
      </c>
      <c r="E158" s="1">
        <v>155.0</v>
      </c>
      <c r="F158" s="1" t="b">
        <v>0</v>
      </c>
      <c r="G158" s="1" t="s">
        <v>325</v>
      </c>
      <c r="H158" s="1" t="s">
        <v>283</v>
      </c>
      <c r="I158" s="1">
        <v>454.0</v>
      </c>
      <c r="J158" s="1">
        <v>233.0</v>
      </c>
      <c r="K158" s="1"/>
    </row>
    <row r="159" hidden="1">
      <c r="A159" s="1">
        <v>99.0</v>
      </c>
      <c r="B159" s="11">
        <v>0.2923611111111111</v>
      </c>
      <c r="C159" s="1">
        <v>210.0</v>
      </c>
      <c r="D159" s="1">
        <v>261.0</v>
      </c>
      <c r="E159" s="1">
        <v>211.0</v>
      </c>
      <c r="F159" s="1" t="b">
        <v>0</v>
      </c>
      <c r="G159" s="1" t="s">
        <v>325</v>
      </c>
      <c r="H159" s="1" t="s">
        <v>283</v>
      </c>
      <c r="I159" s="1">
        <v>140.0</v>
      </c>
      <c r="J159" s="1">
        <v>230.0</v>
      </c>
      <c r="K159" s="1"/>
    </row>
    <row r="160" hidden="1">
      <c r="A160" s="1">
        <v>101.0</v>
      </c>
      <c r="B160" s="11">
        <v>0.36180555555555555</v>
      </c>
      <c r="C160" s="1">
        <v>317.0</v>
      </c>
      <c r="D160" s="1">
        <v>261.0</v>
      </c>
      <c r="E160" s="1">
        <v>155.0</v>
      </c>
      <c r="F160" s="1" t="b">
        <v>0</v>
      </c>
      <c r="G160" s="1" t="s">
        <v>288</v>
      </c>
      <c r="H160" s="1" t="s">
        <v>283</v>
      </c>
      <c r="I160" s="1">
        <v>493.0</v>
      </c>
      <c r="J160" s="1">
        <v>206.0</v>
      </c>
      <c r="K160" s="1"/>
    </row>
    <row r="161" hidden="1">
      <c r="A161" s="1">
        <v>104.0</v>
      </c>
      <c r="B161" s="11">
        <v>0.3763888888888889</v>
      </c>
      <c r="C161" s="1">
        <v>63.0</v>
      </c>
      <c r="D161" s="1">
        <v>261.0</v>
      </c>
      <c r="E161" s="1">
        <v>155.0</v>
      </c>
      <c r="F161" s="1" t="s">
        <v>324</v>
      </c>
      <c r="G161" s="1" t="s">
        <v>326</v>
      </c>
      <c r="H161" s="1" t="s">
        <v>283</v>
      </c>
      <c r="I161" s="1">
        <v>460.0</v>
      </c>
      <c r="J161" s="1">
        <v>142.0</v>
      </c>
      <c r="K161" s="1">
        <v>208.0</v>
      </c>
    </row>
    <row r="162" hidden="1">
      <c r="A162" s="1">
        <v>105.0</v>
      </c>
      <c r="B162" s="11">
        <v>0.3784722222222222</v>
      </c>
      <c r="C162" s="1">
        <v>44.0</v>
      </c>
      <c r="D162" s="1">
        <v>261.0</v>
      </c>
      <c r="E162" s="1">
        <v>155.0</v>
      </c>
      <c r="F162" s="1" t="b">
        <v>0</v>
      </c>
      <c r="G162" s="1" t="s">
        <v>325</v>
      </c>
      <c r="H162" s="1" t="s">
        <v>277</v>
      </c>
      <c r="I162" s="1">
        <v>417.0</v>
      </c>
      <c r="J162" s="1">
        <v>161.0</v>
      </c>
      <c r="K162" s="1"/>
    </row>
    <row r="163" hidden="1">
      <c r="A163" s="1">
        <v>107.0</v>
      </c>
      <c r="B163" s="11">
        <v>0.4173611111111111</v>
      </c>
      <c r="C163" s="1">
        <v>100.0</v>
      </c>
      <c r="D163" s="1">
        <v>261.0</v>
      </c>
      <c r="E163" s="1">
        <v>155.0</v>
      </c>
      <c r="F163" s="1" t="b">
        <v>0</v>
      </c>
      <c r="G163" s="1" t="s">
        <v>288</v>
      </c>
      <c r="H163" s="1" t="s">
        <v>327</v>
      </c>
      <c r="I163" s="1">
        <v>545.0</v>
      </c>
      <c r="J163" s="1">
        <v>148.0</v>
      </c>
      <c r="K163" s="1"/>
    </row>
    <row r="164" hidden="1">
      <c r="A164" s="1">
        <v>108.0</v>
      </c>
      <c r="B164" s="11">
        <v>0.42986111111111114</v>
      </c>
      <c r="C164" s="1">
        <v>100.0</v>
      </c>
      <c r="D164" s="1">
        <v>261.0</v>
      </c>
      <c r="E164" s="1">
        <v>155.0</v>
      </c>
      <c r="F164" s="1" t="b">
        <v>0</v>
      </c>
      <c r="G164" s="1" t="s">
        <v>288</v>
      </c>
      <c r="H164" s="1" t="s">
        <v>283</v>
      </c>
      <c r="I164" s="1">
        <v>547.0</v>
      </c>
      <c r="J164" s="1">
        <v>159.0</v>
      </c>
      <c r="K164" s="1"/>
    </row>
    <row r="165" hidden="1">
      <c r="A165" s="1">
        <v>109.0</v>
      </c>
      <c r="B165" s="11">
        <v>0.4375</v>
      </c>
      <c r="C165" s="1">
        <v>68.0</v>
      </c>
      <c r="D165" s="1">
        <v>261.0</v>
      </c>
      <c r="E165" s="1">
        <v>155.0</v>
      </c>
      <c r="F165" s="1" t="b">
        <v>1</v>
      </c>
      <c r="G165" s="1" t="s">
        <v>276</v>
      </c>
      <c r="H165" s="1" t="s">
        <v>283</v>
      </c>
      <c r="I165" s="1">
        <v>406.0</v>
      </c>
      <c r="J165" s="1">
        <v>153.0</v>
      </c>
      <c r="K165" s="1"/>
    </row>
    <row r="166" hidden="1">
      <c r="A166" s="1">
        <v>116.0</v>
      </c>
      <c r="B166" s="11">
        <v>0.5152777777777777</v>
      </c>
      <c r="C166" s="1">
        <v>99.0</v>
      </c>
      <c r="D166" s="1">
        <v>261.0</v>
      </c>
      <c r="E166" s="1">
        <v>211.0</v>
      </c>
      <c r="F166" s="1" t="b">
        <v>0</v>
      </c>
      <c r="G166" s="1" t="s">
        <v>325</v>
      </c>
      <c r="H166" s="1" t="s">
        <v>286</v>
      </c>
      <c r="I166" s="1">
        <v>81.0</v>
      </c>
      <c r="J166" s="1">
        <v>33.0</v>
      </c>
      <c r="K166" s="1"/>
    </row>
    <row r="167" hidden="1">
      <c r="A167" s="1">
        <v>118.0</v>
      </c>
      <c r="B167" s="11">
        <v>0.5180555555555556</v>
      </c>
      <c r="C167" s="1">
        <v>294.0</v>
      </c>
      <c r="D167" s="1">
        <v>261.0</v>
      </c>
      <c r="E167" s="1">
        <v>211.0</v>
      </c>
      <c r="F167" s="1" t="b">
        <v>0</v>
      </c>
      <c r="G167" s="1" t="s">
        <v>325</v>
      </c>
      <c r="H167" s="1" t="s">
        <v>283</v>
      </c>
      <c r="I167" s="1">
        <v>177.0</v>
      </c>
      <c r="J167" s="1">
        <v>65.0</v>
      </c>
      <c r="K167" s="1"/>
    </row>
    <row r="168" hidden="1">
      <c r="A168" s="1">
        <v>119.0</v>
      </c>
      <c r="B168" s="11">
        <v>0.5298611111111111</v>
      </c>
      <c r="C168" s="1">
        <v>294.0</v>
      </c>
      <c r="D168" s="1">
        <v>261.0</v>
      </c>
      <c r="E168" s="1">
        <v>211.0</v>
      </c>
      <c r="F168" s="1" t="s">
        <v>324</v>
      </c>
      <c r="G168" s="1" t="s">
        <v>273</v>
      </c>
      <c r="H168" s="1" t="s">
        <v>283</v>
      </c>
      <c r="I168" s="1">
        <v>204.0</v>
      </c>
      <c r="J168" s="1">
        <v>20.0</v>
      </c>
      <c r="K168" s="1">
        <v>76.0</v>
      </c>
    </row>
    <row r="169" hidden="1">
      <c r="A169" s="1">
        <v>120.0</v>
      </c>
      <c r="B169" s="11">
        <v>0.5472222222222223</v>
      </c>
      <c r="C169" s="1">
        <v>76.0</v>
      </c>
      <c r="D169" s="1">
        <v>261.0</v>
      </c>
      <c r="E169" s="1">
        <v>155.0</v>
      </c>
      <c r="F169" s="1" t="s">
        <v>324</v>
      </c>
      <c r="G169" s="1" t="s">
        <v>273</v>
      </c>
      <c r="H169" s="1" t="s">
        <v>283</v>
      </c>
      <c r="I169" s="1">
        <v>458.0</v>
      </c>
      <c r="J169" s="1">
        <v>70.0</v>
      </c>
      <c r="K169" s="1">
        <v>208.0</v>
      </c>
    </row>
    <row r="170" hidden="1">
      <c r="A170" s="1">
        <v>122.0</v>
      </c>
      <c r="B170" s="11">
        <v>0.5729166666666666</v>
      </c>
      <c r="C170" s="1">
        <v>44.0</v>
      </c>
      <c r="D170" s="1">
        <v>261.0</v>
      </c>
      <c r="E170" s="1">
        <v>155.0</v>
      </c>
      <c r="F170" s="1" t="s">
        <v>324</v>
      </c>
      <c r="G170" s="1" t="s">
        <v>273</v>
      </c>
      <c r="H170" s="1" t="s">
        <v>283</v>
      </c>
      <c r="I170" s="1">
        <v>392.0</v>
      </c>
      <c r="J170" s="1">
        <v>109.0</v>
      </c>
      <c r="K170" s="1">
        <v>208.0</v>
      </c>
    </row>
    <row r="171" hidden="1">
      <c r="A171" s="1">
        <v>123.0</v>
      </c>
      <c r="B171" s="11">
        <v>0.5756944444444444</v>
      </c>
      <c r="C171" s="1">
        <v>100.0</v>
      </c>
      <c r="D171" s="1">
        <v>261.0</v>
      </c>
      <c r="E171" s="1">
        <v>155.0</v>
      </c>
      <c r="F171" s="1" t="s">
        <v>324</v>
      </c>
      <c r="G171" s="1" t="s">
        <v>326</v>
      </c>
      <c r="H171" s="1" t="s">
        <v>274</v>
      </c>
      <c r="I171" s="1">
        <v>508.0</v>
      </c>
      <c r="J171" s="1">
        <v>147.0</v>
      </c>
      <c r="K171" s="1">
        <v>294.0</v>
      </c>
    </row>
    <row r="172" hidden="1">
      <c r="A172" s="1">
        <v>124.0</v>
      </c>
      <c r="B172" s="11">
        <v>0.5909722222222222</v>
      </c>
      <c r="C172" s="1">
        <v>100.0</v>
      </c>
      <c r="D172" s="1">
        <v>261.0</v>
      </c>
      <c r="E172" s="1">
        <v>155.0</v>
      </c>
      <c r="F172" s="1" t="b">
        <v>0</v>
      </c>
      <c r="G172" s="1" t="s">
        <v>325</v>
      </c>
      <c r="H172" s="1" t="s">
        <v>283</v>
      </c>
      <c r="I172" s="1">
        <v>384.0</v>
      </c>
      <c r="J172" s="1">
        <v>249.0</v>
      </c>
      <c r="K172" s="1"/>
    </row>
    <row r="173" hidden="1">
      <c r="A173" s="1">
        <v>125.0</v>
      </c>
      <c r="B173" s="11">
        <v>0.5916666666666667</v>
      </c>
      <c r="C173" s="1">
        <v>244.0</v>
      </c>
      <c r="D173" s="1">
        <v>261.0</v>
      </c>
      <c r="E173" s="1">
        <v>155.0</v>
      </c>
      <c r="F173" s="1" t="s">
        <v>324</v>
      </c>
      <c r="G173" s="1" t="s">
        <v>326</v>
      </c>
      <c r="H173" s="1" t="s">
        <v>286</v>
      </c>
      <c r="I173" s="1">
        <v>537.0</v>
      </c>
      <c r="J173" s="1">
        <v>160.0</v>
      </c>
      <c r="K173" s="1">
        <v>294.0</v>
      </c>
    </row>
    <row r="174" hidden="1">
      <c r="A174" s="1">
        <v>126.0</v>
      </c>
      <c r="B174" s="11">
        <v>0.5923611111111111</v>
      </c>
      <c r="C174" s="1">
        <v>244.0</v>
      </c>
      <c r="D174" s="1">
        <v>261.0</v>
      </c>
      <c r="E174" s="1">
        <v>155.0</v>
      </c>
      <c r="F174" s="1" t="b">
        <v>0</v>
      </c>
      <c r="G174" s="1" t="s">
        <v>288</v>
      </c>
      <c r="H174" s="1" t="s">
        <v>286</v>
      </c>
      <c r="I174" s="1">
        <v>550.0</v>
      </c>
      <c r="J174" s="1">
        <v>163.0</v>
      </c>
      <c r="K174" s="1"/>
    </row>
    <row r="175" hidden="1">
      <c r="A175" s="1">
        <v>131.0</v>
      </c>
      <c r="B175" s="11">
        <v>0.65</v>
      </c>
      <c r="C175" s="1">
        <v>224.0</v>
      </c>
      <c r="D175" s="1">
        <v>261.0</v>
      </c>
      <c r="E175" s="1">
        <v>211.0</v>
      </c>
      <c r="F175" s="1" t="b">
        <v>0</v>
      </c>
      <c r="G175" s="1" t="s">
        <v>325</v>
      </c>
      <c r="H175" s="1" t="s">
        <v>277</v>
      </c>
      <c r="I175" s="1">
        <v>153.0</v>
      </c>
      <c r="J175" s="1">
        <v>224.0</v>
      </c>
      <c r="K175" s="1"/>
    </row>
    <row r="176" hidden="1">
      <c r="A176" s="1">
        <v>132.0</v>
      </c>
      <c r="B176" s="11">
        <v>0.6680555555555555</v>
      </c>
      <c r="C176" s="1">
        <v>210.0</v>
      </c>
      <c r="D176" s="1">
        <v>261.0</v>
      </c>
      <c r="E176" s="1">
        <v>211.0</v>
      </c>
      <c r="F176" s="1" t="s">
        <v>324</v>
      </c>
      <c r="G176" s="1" t="s">
        <v>273</v>
      </c>
      <c r="H176" s="1" t="s">
        <v>283</v>
      </c>
      <c r="I176" s="1">
        <v>182.0</v>
      </c>
      <c r="J176" s="1">
        <v>114.0</v>
      </c>
      <c r="K176" s="1">
        <v>67.0</v>
      </c>
    </row>
    <row r="177" hidden="1">
      <c r="A177" s="1">
        <v>133.0</v>
      </c>
      <c r="B177" s="11">
        <v>0.7138888888888889</v>
      </c>
      <c r="C177" s="1">
        <v>13.0</v>
      </c>
      <c r="D177" s="1">
        <v>261.0</v>
      </c>
      <c r="E177" s="1">
        <v>211.0</v>
      </c>
      <c r="F177" s="1" t="b">
        <v>0</v>
      </c>
      <c r="G177" s="1" t="s">
        <v>325</v>
      </c>
      <c r="H177" s="1" t="s">
        <v>277</v>
      </c>
      <c r="I177" s="1">
        <v>149.0</v>
      </c>
      <c r="J177" s="1">
        <v>234.0</v>
      </c>
      <c r="K177" s="1"/>
    </row>
    <row r="178" hidden="1">
      <c r="A178" s="1">
        <v>134.0</v>
      </c>
      <c r="B178" s="11">
        <v>0.7166666666666667</v>
      </c>
      <c r="C178" s="1">
        <v>36.0</v>
      </c>
      <c r="D178" s="1">
        <v>261.0</v>
      </c>
      <c r="E178" s="1">
        <v>211.0</v>
      </c>
      <c r="F178" s="1" t="b">
        <v>0</v>
      </c>
      <c r="G178" s="1" t="s">
        <v>325</v>
      </c>
      <c r="H178" s="1" t="s">
        <v>283</v>
      </c>
      <c r="I178" s="1">
        <v>49.0</v>
      </c>
      <c r="J178" s="1">
        <v>179.0</v>
      </c>
      <c r="K178" s="1"/>
    </row>
    <row r="179" hidden="1">
      <c r="A179" s="1">
        <v>135.0</v>
      </c>
      <c r="B179" s="11">
        <v>0.7256944444444444</v>
      </c>
      <c r="C179" s="1">
        <v>181.0</v>
      </c>
      <c r="D179" s="1">
        <v>261.0</v>
      </c>
      <c r="E179" s="1">
        <v>211.0</v>
      </c>
      <c r="F179" s="1" t="s">
        <v>324</v>
      </c>
      <c r="G179" s="1" t="s">
        <v>326</v>
      </c>
      <c r="H179" s="1" t="s">
        <v>283</v>
      </c>
      <c r="I179" s="1">
        <v>90.0</v>
      </c>
      <c r="J179" s="1">
        <v>214.0</v>
      </c>
      <c r="K179" s="1">
        <v>67.0</v>
      </c>
    </row>
    <row r="180" hidden="1">
      <c r="A180" s="1">
        <v>136.0</v>
      </c>
      <c r="B180" s="11">
        <v>0.7472222222222222</v>
      </c>
      <c r="C180" s="1">
        <v>208.0</v>
      </c>
      <c r="D180" s="1">
        <v>261.0</v>
      </c>
      <c r="E180" s="1">
        <v>211.0</v>
      </c>
      <c r="F180" s="1" t="b">
        <v>0</v>
      </c>
      <c r="G180" s="1" t="s">
        <v>288</v>
      </c>
      <c r="H180" s="1" t="s">
        <v>283</v>
      </c>
      <c r="I180" s="1">
        <v>100.0</v>
      </c>
      <c r="J180" s="1">
        <v>183.0</v>
      </c>
      <c r="K180" s="1"/>
    </row>
    <row r="181" hidden="1">
      <c r="A181" s="1">
        <v>139.0</v>
      </c>
      <c r="B181" s="11">
        <v>0.8284722222222223</v>
      </c>
      <c r="C181" s="1">
        <v>196.0</v>
      </c>
      <c r="D181" s="1">
        <v>261.0</v>
      </c>
      <c r="E181" s="1">
        <v>211.0</v>
      </c>
      <c r="F181" s="1" t="s">
        <v>324</v>
      </c>
      <c r="G181" s="1" t="s">
        <v>273</v>
      </c>
      <c r="H181" s="1" t="s">
        <v>283</v>
      </c>
      <c r="I181" s="1">
        <v>191.0</v>
      </c>
      <c r="J181" s="1">
        <v>196.0</v>
      </c>
      <c r="K181" s="1">
        <v>76.0</v>
      </c>
    </row>
    <row r="182" hidden="1">
      <c r="A182" s="1">
        <v>142.0</v>
      </c>
      <c r="B182" s="11">
        <v>0.03819444444444445</v>
      </c>
      <c r="C182" s="1">
        <v>76.0</v>
      </c>
      <c r="D182" s="1">
        <v>261.0</v>
      </c>
      <c r="E182" s="1">
        <v>155.0</v>
      </c>
      <c r="F182" s="1" t="b">
        <v>0</v>
      </c>
      <c r="G182" s="1" t="s">
        <v>288</v>
      </c>
      <c r="H182" s="1" t="s">
        <v>283</v>
      </c>
      <c r="I182" s="1">
        <v>502.0</v>
      </c>
      <c r="J182" s="1">
        <v>207.0</v>
      </c>
      <c r="K182" s="1"/>
    </row>
    <row r="183" hidden="1">
      <c r="A183" s="1">
        <v>144.0</v>
      </c>
      <c r="B183" s="11">
        <v>0.04583333333333333</v>
      </c>
      <c r="C183" s="1">
        <v>68.0</v>
      </c>
      <c r="D183" s="1">
        <v>261.0</v>
      </c>
      <c r="E183" s="1">
        <v>155.0</v>
      </c>
      <c r="F183" s="1" t="b">
        <v>0</v>
      </c>
      <c r="G183" s="1" t="s">
        <v>325</v>
      </c>
      <c r="H183" s="1" t="s">
        <v>283</v>
      </c>
      <c r="I183" s="1">
        <v>457.0</v>
      </c>
      <c r="J183" s="1">
        <v>237.0</v>
      </c>
      <c r="K183" s="1"/>
    </row>
    <row r="184" hidden="1">
      <c r="A184" s="1">
        <v>147.0</v>
      </c>
      <c r="B184" s="11">
        <v>0.08819444444444445</v>
      </c>
      <c r="C184" s="1">
        <v>65.0</v>
      </c>
      <c r="D184" s="1">
        <v>261.0</v>
      </c>
      <c r="E184" s="1">
        <v>155.0</v>
      </c>
      <c r="F184" s="1" t="s">
        <v>324</v>
      </c>
      <c r="G184" s="1" t="s">
        <v>273</v>
      </c>
      <c r="H184" s="1" t="s">
        <v>283</v>
      </c>
      <c r="I184" s="1">
        <v>399.0</v>
      </c>
      <c r="J184" s="1">
        <v>182.0</v>
      </c>
      <c r="K184" s="1">
        <v>224.0</v>
      </c>
    </row>
    <row r="185" hidden="1">
      <c r="A185" s="1">
        <v>148.0</v>
      </c>
      <c r="B185" s="11">
        <v>0.10277777777777777</v>
      </c>
      <c r="C185" s="1">
        <v>49.0</v>
      </c>
      <c r="D185" s="1">
        <v>261.0</v>
      </c>
      <c r="E185" s="1">
        <v>211.0</v>
      </c>
      <c r="F185" s="1" t="b">
        <v>1</v>
      </c>
      <c r="G185" s="1" t="s">
        <v>282</v>
      </c>
      <c r="H185" s="1" t="s">
        <v>283</v>
      </c>
      <c r="I185" s="1">
        <v>108.0</v>
      </c>
      <c r="J185" s="1">
        <v>164.0</v>
      </c>
      <c r="K185" s="1"/>
    </row>
    <row r="186" hidden="1">
      <c r="A186" s="1">
        <v>152.0</v>
      </c>
      <c r="B186" s="11">
        <v>0.13402777777777777</v>
      </c>
      <c r="C186" s="1">
        <v>142.0</v>
      </c>
      <c r="D186" s="1">
        <v>261.0</v>
      </c>
      <c r="E186" s="1">
        <v>211.0</v>
      </c>
      <c r="F186" s="1" t="b">
        <v>0</v>
      </c>
      <c r="G186" s="1" t="s">
        <v>325</v>
      </c>
      <c r="H186" s="1" t="s">
        <v>283</v>
      </c>
      <c r="I186" s="1">
        <v>175.0</v>
      </c>
      <c r="J186" s="1">
        <v>120.0</v>
      </c>
      <c r="K186" s="1"/>
    </row>
    <row r="187" hidden="1">
      <c r="A187" s="1">
        <v>157.0</v>
      </c>
      <c r="B187" s="11">
        <v>0.16944444444444445</v>
      </c>
      <c r="C187" s="1">
        <v>13.0</v>
      </c>
      <c r="D187" s="1">
        <v>261.0</v>
      </c>
      <c r="E187" s="1">
        <v>211.0</v>
      </c>
      <c r="F187" s="1" t="s">
        <v>324</v>
      </c>
      <c r="G187" s="1" t="s">
        <v>273</v>
      </c>
      <c r="H187" s="1" t="s">
        <v>327</v>
      </c>
      <c r="I187" s="1">
        <v>150.0</v>
      </c>
      <c r="J187" s="1">
        <v>146.0</v>
      </c>
      <c r="K187" s="1">
        <v>66.0</v>
      </c>
    </row>
    <row r="188" hidden="1">
      <c r="A188" s="1">
        <v>158.0</v>
      </c>
      <c r="B188" s="11">
        <v>0.20277777777777778</v>
      </c>
      <c r="C188" s="1">
        <v>73.0</v>
      </c>
      <c r="D188" s="1">
        <v>261.0</v>
      </c>
      <c r="E188" s="1">
        <v>155.0</v>
      </c>
      <c r="F188" s="1" t="b">
        <v>0</v>
      </c>
      <c r="G188" s="1" t="s">
        <v>325</v>
      </c>
      <c r="H188" s="1" t="s">
        <v>283</v>
      </c>
      <c r="I188" s="1">
        <v>363.0</v>
      </c>
      <c r="J188" s="1">
        <v>152.0</v>
      </c>
      <c r="K188" s="1"/>
    </row>
    <row r="189">
      <c r="A189" s="1">
        <v>160.0</v>
      </c>
      <c r="B189" s="11">
        <v>0.2263888888888889</v>
      </c>
      <c r="C189" s="1">
        <v>208.0</v>
      </c>
      <c r="D189" s="1">
        <v>261.0</v>
      </c>
      <c r="E189" s="1">
        <v>211.0</v>
      </c>
      <c r="F189" s="1" t="b">
        <v>1</v>
      </c>
      <c r="G189" s="1" t="s">
        <v>282</v>
      </c>
      <c r="H189" s="1" t="s">
        <v>274</v>
      </c>
      <c r="I189" s="1">
        <v>93.0</v>
      </c>
      <c r="J189" s="1">
        <v>161.0</v>
      </c>
      <c r="K189" s="1"/>
    </row>
    <row r="190" hidden="1">
      <c r="A190" s="1">
        <v>164.0</v>
      </c>
      <c r="B190" s="11">
        <v>0.24583333333333332</v>
      </c>
      <c r="C190" s="1">
        <v>26.0</v>
      </c>
      <c r="D190" s="1">
        <v>261.0</v>
      </c>
      <c r="E190" s="1">
        <v>155.0</v>
      </c>
      <c r="F190" s="1" t="b">
        <v>0</v>
      </c>
      <c r="G190" s="1" t="s">
        <v>288</v>
      </c>
      <c r="H190" s="1" t="s">
        <v>283</v>
      </c>
      <c r="I190" s="1">
        <v>488.0</v>
      </c>
      <c r="J190" s="1">
        <v>186.0</v>
      </c>
      <c r="K190" s="1"/>
    </row>
    <row r="191" hidden="1">
      <c r="A191" s="1">
        <v>166.0</v>
      </c>
      <c r="B191" s="11">
        <v>0.25416666666666665</v>
      </c>
      <c r="C191" s="1">
        <v>26.0</v>
      </c>
      <c r="D191" s="1">
        <v>261.0</v>
      </c>
      <c r="E191" s="1">
        <v>155.0</v>
      </c>
      <c r="F191" s="1" t="b">
        <v>0</v>
      </c>
      <c r="G191" s="1" t="s">
        <v>288</v>
      </c>
      <c r="H191" s="1" t="s">
        <v>286</v>
      </c>
      <c r="I191" s="1">
        <v>545.0</v>
      </c>
      <c r="J191" s="1">
        <v>137.0</v>
      </c>
      <c r="K191" s="1"/>
    </row>
    <row r="192" hidden="1">
      <c r="A192" s="1">
        <v>169.0</v>
      </c>
      <c r="B192" s="11">
        <v>0.28055555555555556</v>
      </c>
      <c r="C192" s="1">
        <v>196.0</v>
      </c>
      <c r="D192" s="1">
        <v>261.0</v>
      </c>
      <c r="E192" s="1">
        <v>211.0</v>
      </c>
      <c r="F192" s="1" t="s">
        <v>324</v>
      </c>
      <c r="G192" s="1" t="s">
        <v>273</v>
      </c>
      <c r="H192" s="1" t="s">
        <v>277</v>
      </c>
      <c r="I192" s="1">
        <v>183.0</v>
      </c>
      <c r="J192" s="1">
        <v>252.0</v>
      </c>
      <c r="K192" s="1">
        <v>68.0</v>
      </c>
    </row>
    <row r="193" hidden="1">
      <c r="A193" s="1">
        <v>170.0</v>
      </c>
      <c r="B193" s="11">
        <v>0.3138888888888889</v>
      </c>
      <c r="C193" s="1">
        <v>67.0</v>
      </c>
      <c r="D193" s="1">
        <v>261.0</v>
      </c>
      <c r="E193" s="1">
        <v>155.0</v>
      </c>
      <c r="F193" s="1" t="b">
        <v>0</v>
      </c>
      <c r="G193" s="1" t="s">
        <v>288</v>
      </c>
      <c r="H193" s="1" t="s">
        <v>286</v>
      </c>
      <c r="I193" s="1">
        <v>520.0</v>
      </c>
      <c r="J193" s="1">
        <v>103.0</v>
      </c>
      <c r="K193" s="1"/>
    </row>
    <row r="194">
      <c r="A194" s="1">
        <v>172.0</v>
      </c>
      <c r="B194" s="11">
        <v>0.3402777777777778</v>
      </c>
      <c r="C194" s="1">
        <v>100.0</v>
      </c>
      <c r="D194" s="1">
        <v>261.0</v>
      </c>
      <c r="E194" s="1">
        <v>155.0</v>
      </c>
      <c r="F194" s="1" t="b">
        <v>1</v>
      </c>
      <c r="G194" s="1" t="s">
        <v>282</v>
      </c>
      <c r="H194" s="1" t="s">
        <v>286</v>
      </c>
      <c r="I194" s="1">
        <v>522.0</v>
      </c>
      <c r="J194" s="1">
        <v>150.0</v>
      </c>
      <c r="K194" s="1"/>
    </row>
    <row r="195" hidden="1">
      <c r="A195" s="1">
        <v>176.0</v>
      </c>
      <c r="B195" s="11">
        <v>0.3923611111111111</v>
      </c>
      <c r="C195" s="1">
        <v>181.0</v>
      </c>
      <c r="D195" s="1">
        <v>261.0</v>
      </c>
      <c r="E195" s="1">
        <v>211.0</v>
      </c>
      <c r="F195" s="1" t="s">
        <v>324</v>
      </c>
      <c r="G195" s="1" t="s">
        <v>326</v>
      </c>
      <c r="H195" s="1" t="s">
        <v>283</v>
      </c>
      <c r="I195" s="1">
        <v>137.0</v>
      </c>
      <c r="J195" s="1">
        <v>147.0</v>
      </c>
      <c r="K195" s="1">
        <v>44.0</v>
      </c>
    </row>
    <row r="196" hidden="1">
      <c r="A196" s="1">
        <v>179.0</v>
      </c>
      <c r="B196" s="11">
        <v>0.44305555555555554</v>
      </c>
      <c r="C196" s="1">
        <v>181.0</v>
      </c>
      <c r="D196" s="1">
        <v>261.0</v>
      </c>
      <c r="E196" s="1">
        <v>211.0</v>
      </c>
      <c r="F196" s="1" t="b">
        <v>0</v>
      </c>
      <c r="G196" s="1" t="s">
        <v>288</v>
      </c>
      <c r="H196" s="1" t="s">
        <v>283</v>
      </c>
      <c r="I196" s="1">
        <v>52.0</v>
      </c>
      <c r="J196" s="1">
        <v>130.0</v>
      </c>
      <c r="K196" s="1"/>
    </row>
    <row r="197" hidden="1">
      <c r="A197" s="1">
        <v>181.0</v>
      </c>
      <c r="B197" s="11">
        <v>0.45625</v>
      </c>
      <c r="C197" s="1">
        <v>34.0</v>
      </c>
      <c r="D197" s="1">
        <v>261.0</v>
      </c>
      <c r="E197" s="1">
        <v>211.0</v>
      </c>
      <c r="F197" s="1" t="b">
        <v>0</v>
      </c>
      <c r="G197" s="1" t="s">
        <v>288</v>
      </c>
      <c r="H197" s="1" t="s">
        <v>283</v>
      </c>
      <c r="I197" s="1">
        <v>93.0</v>
      </c>
      <c r="J197" s="1">
        <v>126.0</v>
      </c>
      <c r="K197" s="1"/>
    </row>
    <row r="198" hidden="1">
      <c r="A198" s="1">
        <v>184.0</v>
      </c>
      <c r="B198" s="11">
        <v>0.5506944444444445</v>
      </c>
      <c r="C198" s="1">
        <v>74.0</v>
      </c>
      <c r="D198" s="1">
        <v>261.0</v>
      </c>
      <c r="E198" s="1">
        <v>155.0</v>
      </c>
      <c r="F198" s="1" t="b">
        <v>0</v>
      </c>
      <c r="G198" s="1" t="s">
        <v>325</v>
      </c>
      <c r="H198" s="1" t="s">
        <v>283</v>
      </c>
      <c r="I198" s="1">
        <v>333.0</v>
      </c>
      <c r="J198" s="1">
        <v>39.0</v>
      </c>
      <c r="K198" s="1"/>
    </row>
    <row r="199" hidden="1">
      <c r="A199" s="1">
        <v>186.0</v>
      </c>
      <c r="B199" s="11">
        <v>0.5576388888888889</v>
      </c>
      <c r="C199" s="1">
        <v>200.0</v>
      </c>
      <c r="D199" s="1">
        <v>261.0</v>
      </c>
      <c r="E199" s="1">
        <v>155.0</v>
      </c>
      <c r="F199" s="1" t="s">
        <v>324</v>
      </c>
      <c r="G199" s="1" t="s">
        <v>273</v>
      </c>
      <c r="H199" s="1" t="s">
        <v>283</v>
      </c>
      <c r="I199" s="1">
        <v>438.0</v>
      </c>
      <c r="J199" s="1">
        <v>224.0</v>
      </c>
      <c r="K199" s="1">
        <v>208.0</v>
      </c>
    </row>
    <row r="200" hidden="1">
      <c r="A200" s="1">
        <v>187.0</v>
      </c>
      <c r="B200" s="11">
        <v>0.5638888888888889</v>
      </c>
      <c r="C200" s="1">
        <v>200.0</v>
      </c>
      <c r="D200" s="1">
        <v>261.0</v>
      </c>
      <c r="E200" s="1">
        <v>155.0</v>
      </c>
      <c r="F200" s="1" t="s">
        <v>324</v>
      </c>
      <c r="G200" s="1" t="s">
        <v>273</v>
      </c>
      <c r="H200" s="1" t="s">
        <v>277</v>
      </c>
      <c r="I200" s="1">
        <v>401.0</v>
      </c>
      <c r="J200" s="1">
        <v>228.0</v>
      </c>
      <c r="K200" s="1">
        <v>294.0</v>
      </c>
    </row>
    <row r="201" hidden="1">
      <c r="A201" s="1">
        <v>188.0</v>
      </c>
      <c r="B201" s="11">
        <v>0.5715277777777777</v>
      </c>
      <c r="C201" s="1">
        <v>138.0</v>
      </c>
      <c r="D201" s="1">
        <v>261.0</v>
      </c>
      <c r="E201" s="1">
        <v>211.0</v>
      </c>
      <c r="F201" s="1" t="b">
        <v>0</v>
      </c>
      <c r="G201" s="1" t="s">
        <v>288</v>
      </c>
      <c r="H201" s="1" t="s">
        <v>283</v>
      </c>
      <c r="I201" s="1">
        <v>135.0</v>
      </c>
      <c r="J201" s="1">
        <v>151.0</v>
      </c>
      <c r="K201" s="1"/>
    </row>
    <row r="202" hidden="1">
      <c r="A202" s="1">
        <v>189.0</v>
      </c>
      <c r="B202" s="11">
        <v>0.5770833333333333</v>
      </c>
      <c r="C202" s="1">
        <v>294.0</v>
      </c>
      <c r="D202" s="1">
        <v>261.0</v>
      </c>
      <c r="E202" s="1">
        <v>211.0</v>
      </c>
      <c r="F202" s="1" t="s">
        <v>324</v>
      </c>
      <c r="G202" s="1" t="s">
        <v>273</v>
      </c>
      <c r="H202" s="1" t="s">
        <v>283</v>
      </c>
      <c r="I202" s="1">
        <v>187.0</v>
      </c>
      <c r="J202" s="1">
        <v>178.0</v>
      </c>
      <c r="K202" s="1">
        <v>316.0</v>
      </c>
    </row>
    <row r="203" hidden="1">
      <c r="A203" s="1">
        <v>192.0</v>
      </c>
      <c r="B203" s="11">
        <v>0.6020833333333333</v>
      </c>
      <c r="C203" s="1">
        <v>44.0</v>
      </c>
      <c r="D203" s="1">
        <v>261.0</v>
      </c>
      <c r="E203" s="1">
        <v>155.0</v>
      </c>
      <c r="F203" s="1" t="b">
        <v>0</v>
      </c>
      <c r="G203" s="1" t="s">
        <v>325</v>
      </c>
      <c r="H203" s="1" t="s">
        <v>327</v>
      </c>
      <c r="I203" s="1">
        <v>390.0</v>
      </c>
      <c r="J203" s="1">
        <v>56.0</v>
      </c>
      <c r="K203" s="1"/>
    </row>
    <row r="204" hidden="1">
      <c r="A204" s="1">
        <v>195.0</v>
      </c>
      <c r="B204" s="11">
        <v>0.61875</v>
      </c>
      <c r="C204" s="1">
        <v>203.0</v>
      </c>
      <c r="D204" s="1">
        <v>261.0</v>
      </c>
      <c r="E204" s="1">
        <v>211.0</v>
      </c>
      <c r="F204" s="1" t="s">
        <v>324</v>
      </c>
      <c r="G204" s="1" t="s">
        <v>273</v>
      </c>
      <c r="H204" s="1" t="s">
        <v>283</v>
      </c>
      <c r="I204" s="1">
        <v>196.0</v>
      </c>
      <c r="J204" s="1">
        <v>250.0</v>
      </c>
      <c r="K204" s="1">
        <v>76.0</v>
      </c>
    </row>
    <row r="205" hidden="1">
      <c r="A205" s="1">
        <v>196.0</v>
      </c>
      <c r="B205" s="11">
        <v>0.6409722222222223</v>
      </c>
      <c r="C205" s="1">
        <v>13.0</v>
      </c>
      <c r="D205" s="1">
        <v>261.0</v>
      </c>
      <c r="E205" s="1">
        <v>211.0</v>
      </c>
      <c r="F205" s="1" t="b">
        <v>0</v>
      </c>
      <c r="G205" s="1" t="s">
        <v>325</v>
      </c>
      <c r="H205" s="1" t="s">
        <v>283</v>
      </c>
      <c r="I205" s="1">
        <v>52.0</v>
      </c>
      <c r="J205" s="1">
        <v>116.0</v>
      </c>
      <c r="K205" s="1"/>
    </row>
    <row r="206" hidden="1">
      <c r="A206" s="1">
        <v>198.0</v>
      </c>
      <c r="B206" s="11">
        <v>0.7208333333333333</v>
      </c>
      <c r="C206" s="1">
        <v>244.0</v>
      </c>
      <c r="D206" s="1">
        <v>261.0</v>
      </c>
      <c r="E206" s="1">
        <v>155.0</v>
      </c>
      <c r="F206" s="1" t="b">
        <v>0</v>
      </c>
      <c r="G206" s="1" t="s">
        <v>288</v>
      </c>
      <c r="H206" s="1" t="s">
        <v>286</v>
      </c>
      <c r="I206" s="1">
        <v>516.0</v>
      </c>
      <c r="J206" s="1">
        <v>153.0</v>
      </c>
      <c r="K206" s="1"/>
    </row>
    <row r="207" hidden="1">
      <c r="A207" s="1">
        <v>200.0</v>
      </c>
      <c r="B207" s="11">
        <v>0.7291666666666666</v>
      </c>
      <c r="C207" s="1">
        <v>44.0</v>
      </c>
      <c r="D207" s="1">
        <v>261.0</v>
      </c>
      <c r="E207" s="1">
        <v>155.0</v>
      </c>
      <c r="F207" s="1" t="b">
        <v>0</v>
      </c>
      <c r="G207" s="1" t="s">
        <v>325</v>
      </c>
      <c r="H207" s="1" t="s">
        <v>283</v>
      </c>
      <c r="I207" s="1">
        <v>400.0</v>
      </c>
      <c r="J207" s="1">
        <v>89.0</v>
      </c>
      <c r="K207" s="1"/>
    </row>
    <row r="208" hidden="1">
      <c r="A208" s="1">
        <v>201.0</v>
      </c>
      <c r="B208" s="11">
        <v>0.7388888888888889</v>
      </c>
      <c r="C208" s="1">
        <v>316.0</v>
      </c>
      <c r="D208" s="1">
        <v>261.0</v>
      </c>
      <c r="E208" s="1">
        <v>155.0</v>
      </c>
      <c r="F208" s="1" t="s">
        <v>324</v>
      </c>
      <c r="G208" s="1" t="s">
        <v>273</v>
      </c>
      <c r="H208" s="1" t="s">
        <v>283</v>
      </c>
      <c r="I208" s="1">
        <v>422.0</v>
      </c>
      <c r="J208" s="1">
        <v>104.0</v>
      </c>
      <c r="K208" s="1">
        <v>294.0</v>
      </c>
    </row>
    <row r="209" hidden="1">
      <c r="A209" s="1">
        <v>202.0</v>
      </c>
      <c r="B209" s="11">
        <v>0.7479166666666667</v>
      </c>
      <c r="C209" s="1">
        <v>13.0</v>
      </c>
      <c r="D209" s="1">
        <v>261.0</v>
      </c>
      <c r="E209" s="1">
        <v>211.0</v>
      </c>
      <c r="F209" s="1" t="s">
        <v>324</v>
      </c>
      <c r="G209" s="1" t="s">
        <v>326</v>
      </c>
      <c r="H209" s="1" t="s">
        <v>283</v>
      </c>
      <c r="I209" s="1">
        <v>124.0</v>
      </c>
      <c r="J209" s="1">
        <v>79.0</v>
      </c>
      <c r="K209" s="1">
        <v>317.0</v>
      </c>
    </row>
    <row r="210" hidden="1">
      <c r="A210" s="1">
        <v>203.0</v>
      </c>
      <c r="B210" s="11">
        <v>0.7597222222222222</v>
      </c>
      <c r="C210" s="1">
        <v>36.0</v>
      </c>
      <c r="D210" s="1">
        <v>261.0</v>
      </c>
      <c r="E210" s="1">
        <v>211.0</v>
      </c>
      <c r="F210" s="1" t="b">
        <v>1</v>
      </c>
      <c r="G210" s="1" t="s">
        <v>282</v>
      </c>
      <c r="H210" s="1" t="s">
        <v>283</v>
      </c>
      <c r="I210" s="1">
        <v>99.0</v>
      </c>
      <c r="J210" s="1">
        <v>147.0</v>
      </c>
      <c r="K210" s="1"/>
    </row>
    <row r="211" hidden="1">
      <c r="A211" s="1">
        <v>206.0</v>
      </c>
      <c r="B211" s="11">
        <v>0.7736111111111111</v>
      </c>
      <c r="C211" s="1">
        <v>63.0</v>
      </c>
      <c r="D211" s="1">
        <v>261.0</v>
      </c>
      <c r="E211" s="1">
        <v>155.0</v>
      </c>
      <c r="F211" s="1" t="s">
        <v>324</v>
      </c>
      <c r="G211" s="1" t="s">
        <v>273</v>
      </c>
      <c r="H211" s="1" t="s">
        <v>327</v>
      </c>
      <c r="I211" s="1">
        <v>516.0</v>
      </c>
      <c r="J211" s="1">
        <v>245.0</v>
      </c>
      <c r="K211" s="1">
        <v>99.0</v>
      </c>
    </row>
    <row r="212" hidden="1">
      <c r="A212" s="1">
        <v>210.0</v>
      </c>
      <c r="B212" s="11">
        <v>0.8326388888888889</v>
      </c>
      <c r="C212" s="1">
        <v>65.0</v>
      </c>
      <c r="D212" s="1">
        <v>261.0</v>
      </c>
      <c r="E212" s="1">
        <v>155.0</v>
      </c>
      <c r="F212" s="1" t="b">
        <v>0</v>
      </c>
      <c r="G212" s="1" t="s">
        <v>325</v>
      </c>
      <c r="H212" s="1" t="s">
        <v>283</v>
      </c>
      <c r="I212" s="1">
        <v>363.0</v>
      </c>
      <c r="J212" s="1">
        <v>97.0</v>
      </c>
      <c r="K212" s="1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B215" s="11"/>
    </row>
    <row r="216">
      <c r="B216" s="11"/>
    </row>
    <row r="217">
      <c r="B217" s="11"/>
    </row>
  </sheetData>
  <autoFilter ref="$A$3:$K$212">
    <filterColumn colId="0">
      <filters>
        <filter val="88"/>
        <filter val="160"/>
        <filter val="172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328</v>
      </c>
      <c r="B1" s="14" t="s">
        <v>329</v>
      </c>
      <c r="C1" s="14" t="s">
        <v>329</v>
      </c>
      <c r="D1" s="14"/>
    </row>
    <row r="2">
      <c r="A2" s="14" t="s">
        <v>330</v>
      </c>
      <c r="B2" s="14" t="s">
        <v>299</v>
      </c>
      <c r="C2" s="4" t="s">
        <v>84</v>
      </c>
      <c r="D2" s="14" t="s">
        <v>331</v>
      </c>
      <c r="E2" s="14" t="s">
        <v>264</v>
      </c>
    </row>
    <row r="3">
      <c r="A3" s="8" t="s">
        <v>332</v>
      </c>
      <c r="B3" s="16" t="s">
        <v>307</v>
      </c>
      <c r="C3" s="8">
        <v>259.0</v>
      </c>
      <c r="D3" s="8">
        <v>1.0</v>
      </c>
      <c r="E3" s="16">
        <v>259.0</v>
      </c>
    </row>
    <row r="4">
      <c r="A4" s="8" t="s">
        <v>333</v>
      </c>
      <c r="B4" s="16" t="s">
        <v>307</v>
      </c>
      <c r="C4" s="8">
        <v>15.0</v>
      </c>
      <c r="D4" s="8">
        <v>2.0</v>
      </c>
      <c r="E4" s="16">
        <v>259.0</v>
      </c>
    </row>
    <row r="5">
      <c r="A5" s="8" t="s">
        <v>334</v>
      </c>
      <c r="B5" s="16" t="s">
        <v>313</v>
      </c>
      <c r="C5" s="8">
        <v>91.0</v>
      </c>
      <c r="D5" s="8">
        <v>1.0</v>
      </c>
      <c r="E5" s="16">
        <v>259.0</v>
      </c>
    </row>
    <row r="6">
      <c r="A6" s="8" t="s">
        <v>335</v>
      </c>
      <c r="B6" s="16" t="s">
        <v>313</v>
      </c>
      <c r="C6" s="8">
        <v>196.0</v>
      </c>
      <c r="D6" s="8">
        <v>2.0</v>
      </c>
      <c r="E6" s="16">
        <v>259.0</v>
      </c>
    </row>
    <row r="7">
      <c r="A7" s="8" t="s">
        <v>285</v>
      </c>
      <c r="B7" s="16" t="s">
        <v>308</v>
      </c>
      <c r="C7" s="8">
        <v>26.0</v>
      </c>
      <c r="D7" s="8">
        <v>1.0</v>
      </c>
      <c r="E7" s="16">
        <v>261.0</v>
      </c>
    </row>
    <row r="8">
      <c r="A8" s="8" t="s">
        <v>336</v>
      </c>
      <c r="B8" s="16" t="s">
        <v>308</v>
      </c>
      <c r="C8" s="8">
        <v>68.0</v>
      </c>
      <c r="D8" s="8">
        <v>2.0</v>
      </c>
      <c r="E8" s="16">
        <v>261.0</v>
      </c>
    </row>
    <row r="9">
      <c r="A9" s="8" t="s">
        <v>337</v>
      </c>
      <c r="B9" s="16" t="s">
        <v>309</v>
      </c>
      <c r="C9" s="8">
        <v>63.0</v>
      </c>
      <c r="D9" s="8">
        <v>1.0</v>
      </c>
      <c r="E9" s="16">
        <v>261.0</v>
      </c>
    </row>
    <row r="10">
      <c r="A10" s="8" t="s">
        <v>295</v>
      </c>
      <c r="B10" s="16" t="s">
        <v>309</v>
      </c>
      <c r="C10" s="8">
        <v>56.0</v>
      </c>
      <c r="D10" s="8">
        <v>2.0</v>
      </c>
      <c r="E10" s="16">
        <v>261.0</v>
      </c>
    </row>
    <row r="11">
      <c r="A11" s="8" t="s">
        <v>338</v>
      </c>
      <c r="B11" s="16" t="s">
        <v>310</v>
      </c>
      <c r="C11" s="8">
        <v>181.0</v>
      </c>
      <c r="D11" s="8">
        <v>1.0</v>
      </c>
      <c r="E11" s="16">
        <v>261.0</v>
      </c>
    </row>
    <row r="12">
      <c r="A12" s="8" t="s">
        <v>339</v>
      </c>
      <c r="B12" s="16" t="s">
        <v>310</v>
      </c>
      <c r="C12" s="8">
        <v>34.0</v>
      </c>
      <c r="D12" s="8">
        <v>2.0</v>
      </c>
      <c r="E12" s="16">
        <v>261.0</v>
      </c>
    </row>
    <row r="13">
      <c r="A13" s="8" t="s">
        <v>340</v>
      </c>
      <c r="B13" s="16" t="s">
        <v>311</v>
      </c>
      <c r="C13" s="8">
        <v>196.0</v>
      </c>
      <c r="D13" s="8">
        <v>1.0</v>
      </c>
      <c r="E13" s="16">
        <v>261.0</v>
      </c>
    </row>
    <row r="14">
      <c r="A14" s="8" t="s">
        <v>341</v>
      </c>
      <c r="B14" s="16" t="s">
        <v>314</v>
      </c>
      <c r="C14" s="8">
        <v>294.0</v>
      </c>
      <c r="D14" s="8">
        <v>1.0</v>
      </c>
      <c r="E14" s="16">
        <v>261.0</v>
      </c>
    </row>
    <row r="15">
      <c r="A15" s="8" t="s">
        <v>342</v>
      </c>
      <c r="B15" s="16" t="s">
        <v>314</v>
      </c>
      <c r="C15" s="8">
        <v>36.0</v>
      </c>
      <c r="D15" s="8">
        <v>2.0</v>
      </c>
      <c r="E15" s="16">
        <v>261.0</v>
      </c>
      <c r="H15" s="13"/>
      <c r="I15" s="4"/>
      <c r="J15" s="4"/>
      <c r="K15" s="4"/>
      <c r="L15" s="4"/>
      <c r="M15" s="4"/>
    </row>
    <row r="16">
      <c r="A16" s="8" t="s">
        <v>343</v>
      </c>
      <c r="B16" s="16" t="s">
        <v>315</v>
      </c>
      <c r="C16" s="8">
        <v>56.0</v>
      </c>
      <c r="D16" s="8">
        <v>1.0</v>
      </c>
      <c r="E16" s="16">
        <v>261.0</v>
      </c>
      <c r="H16" s="4"/>
    </row>
    <row r="17">
      <c r="A17" s="8" t="s">
        <v>344</v>
      </c>
      <c r="B17" s="16" t="s">
        <v>315</v>
      </c>
      <c r="C17" s="8">
        <v>73.0</v>
      </c>
      <c r="D17" s="8">
        <v>2.0</v>
      </c>
      <c r="E17" s="16">
        <v>261.0</v>
      </c>
      <c r="H17" s="4"/>
    </row>
    <row r="18">
      <c r="A18" s="8" t="s">
        <v>345</v>
      </c>
      <c r="B18" s="16" t="s">
        <v>316</v>
      </c>
      <c r="C18" s="8">
        <v>36.0</v>
      </c>
      <c r="D18" s="8">
        <v>1.0</v>
      </c>
      <c r="E18" s="16">
        <v>261.0</v>
      </c>
      <c r="H18" s="4"/>
    </row>
    <row r="19">
      <c r="A19" s="8" t="s">
        <v>346</v>
      </c>
      <c r="B19" s="16" t="s">
        <v>316</v>
      </c>
      <c r="C19" s="8">
        <v>2.0</v>
      </c>
      <c r="D19" s="8">
        <v>2.0</v>
      </c>
      <c r="E19" s="16">
        <v>261.0</v>
      </c>
      <c r="H19" s="4"/>
    </row>
    <row r="20">
      <c r="A20" s="8" t="s">
        <v>347</v>
      </c>
      <c r="B20" s="16" t="s">
        <v>317</v>
      </c>
      <c r="C20" s="8">
        <v>316.0</v>
      </c>
      <c r="D20" s="8">
        <v>1.0</v>
      </c>
      <c r="E20" s="16">
        <v>261.0</v>
      </c>
      <c r="H20" s="4"/>
    </row>
    <row r="21">
      <c r="A21" s="8" t="s">
        <v>348</v>
      </c>
      <c r="B21" s="16" t="s">
        <v>317</v>
      </c>
      <c r="C21" s="8">
        <v>63.0</v>
      </c>
      <c r="D21" s="8">
        <v>2.0</v>
      </c>
      <c r="E21" s="16">
        <v>261.0</v>
      </c>
    </row>
    <row r="22">
      <c r="A22" s="8" t="s">
        <v>349</v>
      </c>
      <c r="B22" s="16" t="s">
        <v>312</v>
      </c>
      <c r="C22" s="8">
        <v>34.0</v>
      </c>
      <c r="D22" s="8">
        <v>1.0</v>
      </c>
      <c r="E22" s="16">
        <v>261.0</v>
      </c>
    </row>
    <row r="23">
      <c r="A23" s="8" t="s">
        <v>350</v>
      </c>
      <c r="B23" s="16" t="s">
        <v>312</v>
      </c>
      <c r="C23" s="8">
        <v>99.0</v>
      </c>
      <c r="D23" s="8">
        <v>2.0</v>
      </c>
      <c r="E23" s="16">
        <v>261.0</v>
      </c>
    </row>
    <row r="24">
      <c r="A24" s="1">
        <v>335341.0</v>
      </c>
      <c r="B24" s="16" t="s">
        <v>318</v>
      </c>
      <c r="C24" s="1">
        <v>99.0</v>
      </c>
      <c r="D24" s="1">
        <v>1.0</v>
      </c>
      <c r="E24" s="8">
        <v>335.0</v>
      </c>
    </row>
    <row r="25">
      <c r="A25" s="16" t="s">
        <v>351</v>
      </c>
      <c r="B25" s="16" t="s">
        <v>319</v>
      </c>
      <c r="C25" s="1">
        <v>203.0</v>
      </c>
      <c r="D25" s="1">
        <v>1.0</v>
      </c>
      <c r="E25" s="8">
        <v>335.0</v>
      </c>
    </row>
    <row r="26">
      <c r="A26" s="16" t="s">
        <v>352</v>
      </c>
      <c r="B26" s="16" t="s">
        <v>320</v>
      </c>
      <c r="C26" s="1">
        <v>89.0</v>
      </c>
      <c r="D26" s="1">
        <v>1.0</v>
      </c>
      <c r="E26" s="8">
        <v>335.0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20.13"/>
  </cols>
  <sheetData>
    <row r="1">
      <c r="A1" s="17" t="s">
        <v>82</v>
      </c>
      <c r="B1" s="6"/>
      <c r="C1" s="6"/>
      <c r="D1" s="6"/>
      <c r="E1" s="17" t="s">
        <v>260</v>
      </c>
      <c r="F1" s="17" t="s">
        <v>260</v>
      </c>
    </row>
    <row r="2">
      <c r="A2" s="4" t="s">
        <v>353</v>
      </c>
      <c r="B2" s="4" t="s">
        <v>262</v>
      </c>
      <c r="C2" s="4" t="s">
        <v>354</v>
      </c>
      <c r="D2" s="4" t="s">
        <v>355</v>
      </c>
      <c r="E2" s="4" t="s">
        <v>84</v>
      </c>
      <c r="F2" s="4" t="s">
        <v>264</v>
      </c>
    </row>
    <row r="3">
      <c r="A3" s="1">
        <v>11.0</v>
      </c>
      <c r="B3" s="18" t="str">
        <f>"0000-01-01 00:05:11.000"</f>
        <v>0000-01-01 00:05:11.000</v>
      </c>
      <c r="C3" s="1">
        <v>2.0</v>
      </c>
      <c r="D3" s="1" t="s">
        <v>356</v>
      </c>
      <c r="E3" s="1">
        <v>185.0</v>
      </c>
      <c r="F3" s="1">
        <v>259.0</v>
      </c>
    </row>
    <row r="4">
      <c r="A4" s="1">
        <v>29.0</v>
      </c>
      <c r="B4" s="1" t="str">
        <f>"0000-01-01 00:10:35.000"</f>
        <v>0000-01-01 00:10:35.000</v>
      </c>
      <c r="C4" s="1">
        <v>2.0</v>
      </c>
      <c r="D4" s="1" t="s">
        <v>357</v>
      </c>
      <c r="E4" s="1">
        <v>62.0</v>
      </c>
      <c r="F4" s="1">
        <v>259.0</v>
      </c>
    </row>
    <row r="5">
      <c r="A5" s="1">
        <v>34.0</v>
      </c>
      <c r="B5" s="1" t="str">
        <f> "0000-01-01 00:12:24.000"</f>
        <v>0000-01-01 00:12:24.000</v>
      </c>
      <c r="C5" s="1">
        <v>2.0</v>
      </c>
      <c r="D5" s="1" t="s">
        <v>358</v>
      </c>
      <c r="E5" s="1">
        <v>138.0</v>
      </c>
      <c r="F5" s="1">
        <v>259.0</v>
      </c>
    </row>
    <row r="6">
      <c r="A6" s="1">
        <v>52.0</v>
      </c>
      <c r="B6" s="18" t="str">
        <f> "0000-01-01 00:17:02.000"</f>
        <v>0000-01-01 00:17:02.000</v>
      </c>
      <c r="C6" s="1">
        <v>2.0</v>
      </c>
      <c r="D6" s="1" t="s">
        <v>359</v>
      </c>
      <c r="E6" s="1">
        <v>52.0</v>
      </c>
      <c r="F6" s="1">
        <v>259.0</v>
      </c>
    </row>
    <row r="7">
      <c r="A7" s="1">
        <v>97.0</v>
      </c>
      <c r="B7" s="18" t="str">
        <f>"0000-01-01 00:34:52.000"</f>
        <v>0000-01-01 00:34:52.000</v>
      </c>
      <c r="C7" s="1">
        <v>2.0</v>
      </c>
      <c r="D7" s="1" t="s">
        <v>359</v>
      </c>
      <c r="E7" s="1">
        <v>78.0</v>
      </c>
      <c r="F7" s="1">
        <v>259.0</v>
      </c>
    </row>
    <row r="8">
      <c r="A8" s="1">
        <v>45.0</v>
      </c>
      <c r="B8" s="18" t="str">
        <f>"0000-01-01 00:09:37.000"</f>
        <v>0000-01-01 00:09:37.000</v>
      </c>
      <c r="C8" s="1">
        <v>2.0</v>
      </c>
      <c r="D8" s="1" t="s">
        <v>360</v>
      </c>
      <c r="E8" s="1">
        <v>316.0</v>
      </c>
      <c r="F8" s="1">
        <v>261.0</v>
      </c>
      <c r="H8" s="4"/>
      <c r="I8" s="4"/>
    </row>
    <row r="9">
      <c r="A9" s="1">
        <v>102.0</v>
      </c>
      <c r="B9" s="3" t="s">
        <v>361</v>
      </c>
      <c r="C9" s="1">
        <v>2.0</v>
      </c>
      <c r="D9" s="1" t="s">
        <v>362</v>
      </c>
      <c r="E9" s="1">
        <v>294.0</v>
      </c>
      <c r="F9" s="1">
        <v>261.0</v>
      </c>
      <c r="H9" s="19"/>
    </row>
    <row r="10">
      <c r="A10" s="1">
        <v>129.0</v>
      </c>
      <c r="B10" s="3" t="s">
        <v>363</v>
      </c>
      <c r="C10" s="1">
        <v>2.0</v>
      </c>
      <c r="D10" s="1" t="s">
        <v>364</v>
      </c>
      <c r="E10" s="1">
        <v>26.0</v>
      </c>
      <c r="F10" s="1">
        <v>261.0</v>
      </c>
      <c r="H10" s="19"/>
    </row>
    <row r="11">
      <c r="A11" s="1">
        <v>145.0</v>
      </c>
      <c r="B11" s="3" t="s">
        <v>365</v>
      </c>
      <c r="C11" s="1">
        <v>2.0</v>
      </c>
      <c r="D11" s="1" t="s">
        <v>366</v>
      </c>
      <c r="E11" s="1">
        <v>210.0</v>
      </c>
      <c r="F11" s="1">
        <v>261.0</v>
      </c>
      <c r="H11" s="19"/>
    </row>
    <row r="12">
      <c r="A12" s="1">
        <v>153.0</v>
      </c>
      <c r="B12" s="3" t="s">
        <v>367</v>
      </c>
      <c r="C12" s="1">
        <v>2.0</v>
      </c>
      <c r="D12" s="1" t="s">
        <v>368</v>
      </c>
      <c r="E12" s="1">
        <v>49.0</v>
      </c>
      <c r="F12" s="1">
        <v>261.0</v>
      </c>
      <c r="H12" s="19"/>
    </row>
    <row r="13">
      <c r="A13" s="1">
        <v>154.0</v>
      </c>
      <c r="B13" s="3" t="s">
        <v>367</v>
      </c>
      <c r="C13" s="1">
        <v>2.0</v>
      </c>
      <c r="D13" s="1" t="s">
        <v>369</v>
      </c>
      <c r="E13" s="1">
        <v>74.0</v>
      </c>
      <c r="F13" s="1">
        <v>261.0</v>
      </c>
      <c r="H13" s="19"/>
    </row>
    <row r="14">
      <c r="A14" s="1">
        <v>177.0</v>
      </c>
      <c r="B14" s="3" t="s">
        <v>370</v>
      </c>
      <c r="C14" s="1">
        <v>2.0</v>
      </c>
      <c r="D14" s="1" t="s">
        <v>371</v>
      </c>
      <c r="E14" s="1">
        <v>74.0</v>
      </c>
      <c r="F14" s="1">
        <v>261.0</v>
      </c>
      <c r="H14" s="19"/>
    </row>
    <row r="15">
      <c r="A15" s="1">
        <v>207.0</v>
      </c>
      <c r="B15" s="3" t="s">
        <v>372</v>
      </c>
      <c r="C15" s="1">
        <v>2.0</v>
      </c>
      <c r="D15" s="1" t="s">
        <v>358</v>
      </c>
      <c r="E15" s="1">
        <v>76.0</v>
      </c>
      <c r="F15" s="1">
        <v>261.0</v>
      </c>
      <c r="H15" s="19"/>
    </row>
    <row r="16">
      <c r="A16" s="1">
        <v>23.0</v>
      </c>
      <c r="B16" s="18" t="str">
        <f>"0000-01-01 00:10:31.000"</f>
        <v>0000-01-01 00:10:31.000</v>
      </c>
      <c r="C16" s="1">
        <v>2.0</v>
      </c>
      <c r="D16" s="1" t="s">
        <v>366</v>
      </c>
      <c r="E16" s="1">
        <v>294.0</v>
      </c>
      <c r="F16" s="1">
        <v>335.0</v>
      </c>
    </row>
    <row r="17">
      <c r="A17" s="1">
        <v>82.0</v>
      </c>
      <c r="B17" s="18" t="str">
        <f>"0000-01-01 00:26:47.000"</f>
        <v>0000-01-01 00:26:47.000</v>
      </c>
      <c r="C17" s="1">
        <v>2.0</v>
      </c>
      <c r="D17" s="1" t="s">
        <v>360</v>
      </c>
      <c r="E17" s="1">
        <v>203.0</v>
      </c>
      <c r="F17" s="1">
        <v>335.0</v>
      </c>
    </row>
    <row r="18">
      <c r="A18" s="1">
        <v>119.0</v>
      </c>
      <c r="B18" s="18" t="str">
        <f>"0000-01-01 00:37:23.000"</f>
        <v>0000-01-01 00:37:23.000</v>
      </c>
      <c r="C18" s="1">
        <v>2.0</v>
      </c>
      <c r="D18" s="1" t="s">
        <v>362</v>
      </c>
      <c r="E18" s="1">
        <v>99.0</v>
      </c>
      <c r="F18" s="1">
        <v>335.0</v>
      </c>
    </row>
    <row r="19">
      <c r="A19" s="1">
        <v>175.0</v>
      </c>
      <c r="B19" s="3" t="s">
        <v>373</v>
      </c>
      <c r="C19" s="1">
        <v>2.0</v>
      </c>
      <c r="D19" s="1" t="s">
        <v>369</v>
      </c>
      <c r="E19" s="1">
        <v>138.0</v>
      </c>
      <c r="F19" s="1">
        <v>335.0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4" t="s">
        <v>82</v>
      </c>
      <c r="B1" s="4" t="s">
        <v>260</v>
      </c>
      <c r="C1" s="4" t="s">
        <v>260</v>
      </c>
      <c r="D1" s="4" t="s">
        <v>260</v>
      </c>
    </row>
    <row r="2">
      <c r="A2" s="4" t="s">
        <v>374</v>
      </c>
      <c r="B2" s="4" t="s">
        <v>375</v>
      </c>
      <c r="C2" s="4" t="s">
        <v>376</v>
      </c>
      <c r="D2" s="1" t="s">
        <v>377</v>
      </c>
      <c r="E2" s="1" t="s">
        <v>378</v>
      </c>
      <c r="G2" s="4"/>
      <c r="I2" s="8">
        <v>259.0</v>
      </c>
    </row>
    <row r="3" hidden="1">
      <c r="A3" s="1">
        <v>1.0</v>
      </c>
      <c r="B3" s="1">
        <v>18.0</v>
      </c>
      <c r="C3" s="1">
        <v>1.0</v>
      </c>
      <c r="D3" s="1">
        <v>8.0</v>
      </c>
      <c r="I3" s="8">
        <v>15.0</v>
      </c>
    </row>
    <row r="4">
      <c r="A4" s="1">
        <v>2.0</v>
      </c>
      <c r="B4" s="1">
        <v>15.0</v>
      </c>
      <c r="C4" s="1">
        <v>1.0</v>
      </c>
      <c r="D4" s="1">
        <v>8.0</v>
      </c>
      <c r="E4" s="1" t="s">
        <v>379</v>
      </c>
      <c r="I4" s="8">
        <v>91.0</v>
      </c>
    </row>
    <row r="5" hidden="1">
      <c r="A5" s="1">
        <v>3.0</v>
      </c>
      <c r="B5" s="1">
        <v>97.0</v>
      </c>
      <c r="C5" s="1">
        <v>1.0</v>
      </c>
      <c r="D5" s="1">
        <v>8.0</v>
      </c>
      <c r="I5" s="8">
        <v>196.0</v>
      </c>
    </row>
    <row r="6" hidden="1">
      <c r="A6" s="1">
        <v>4.0</v>
      </c>
      <c r="B6" s="1">
        <v>256.0</v>
      </c>
      <c r="C6" s="1">
        <v>1.0</v>
      </c>
      <c r="D6" s="1">
        <v>8.0</v>
      </c>
      <c r="I6" s="8">
        <v>68.0</v>
      </c>
    </row>
    <row r="7" hidden="1">
      <c r="A7" s="1">
        <v>5.0</v>
      </c>
      <c r="B7" s="1">
        <v>17.0</v>
      </c>
      <c r="C7" s="1">
        <v>1.0</v>
      </c>
      <c r="D7" s="1">
        <v>8.0</v>
      </c>
      <c r="I7" s="8">
        <v>56.0</v>
      </c>
    </row>
    <row r="8">
      <c r="A8" s="1">
        <v>6.0</v>
      </c>
      <c r="B8" s="1">
        <v>259.0</v>
      </c>
      <c r="C8" s="1">
        <v>1.0</v>
      </c>
      <c r="D8" s="1">
        <v>8.0</v>
      </c>
      <c r="I8" s="8">
        <v>196.0</v>
      </c>
    </row>
    <row r="9" hidden="1">
      <c r="A9" s="1">
        <v>7.0</v>
      </c>
      <c r="B9" s="1">
        <v>1.0</v>
      </c>
      <c r="C9" s="1">
        <v>1.0</v>
      </c>
      <c r="D9" s="1">
        <v>8.0</v>
      </c>
      <c r="I9" s="8">
        <v>56.0</v>
      </c>
    </row>
    <row r="10" hidden="1">
      <c r="A10" s="1">
        <v>8.0</v>
      </c>
      <c r="B10" s="1">
        <v>212.0</v>
      </c>
      <c r="C10" s="1">
        <v>1.0</v>
      </c>
      <c r="D10" s="1">
        <v>8.0</v>
      </c>
      <c r="I10" s="8">
        <v>73.0</v>
      </c>
    </row>
    <row r="11" hidden="1">
      <c r="A11" s="1">
        <v>9.0</v>
      </c>
      <c r="B11" s="1">
        <v>243.0</v>
      </c>
      <c r="C11" s="1">
        <v>1.0</v>
      </c>
      <c r="D11" s="1">
        <v>8.0</v>
      </c>
      <c r="I11" s="8">
        <v>2.0</v>
      </c>
    </row>
    <row r="12" hidden="1">
      <c r="A12" s="1">
        <v>10.0</v>
      </c>
      <c r="B12" s="1">
        <v>183.0</v>
      </c>
      <c r="C12" s="1">
        <v>1.0</v>
      </c>
      <c r="D12" s="1">
        <v>8.0</v>
      </c>
    </row>
    <row r="13" hidden="1">
      <c r="A13" s="1">
        <v>11.0</v>
      </c>
      <c r="B13" s="1">
        <v>8.0</v>
      </c>
      <c r="C13" s="1">
        <v>1.0</v>
      </c>
      <c r="D13" s="1">
        <v>8.0</v>
      </c>
    </row>
    <row r="14" hidden="1">
      <c r="A14" s="1">
        <v>12.0</v>
      </c>
      <c r="B14" s="1">
        <v>149.0</v>
      </c>
      <c r="C14" s="1">
        <v>1.0</v>
      </c>
      <c r="D14" s="1">
        <v>8.0</v>
      </c>
    </row>
    <row r="15" hidden="1">
      <c r="A15" s="1">
        <v>13.0</v>
      </c>
      <c r="B15" s="1">
        <v>16.0</v>
      </c>
      <c r="C15" s="1">
        <v>1.0</v>
      </c>
      <c r="D15" s="1">
        <v>8.0</v>
      </c>
      <c r="E15" s="1" t="s">
        <v>379</v>
      </c>
    </row>
    <row r="16" hidden="1">
      <c r="A16" s="1">
        <v>14.0</v>
      </c>
      <c r="B16" s="1">
        <v>78.0</v>
      </c>
      <c r="C16" s="1">
        <v>1.0</v>
      </c>
      <c r="D16" s="1">
        <v>8.0</v>
      </c>
    </row>
    <row r="17" hidden="1">
      <c r="A17" s="1">
        <v>15.0</v>
      </c>
      <c r="B17" s="1">
        <v>52.0</v>
      </c>
      <c r="C17" s="1">
        <v>1.0</v>
      </c>
      <c r="D17" s="1">
        <v>8.0</v>
      </c>
      <c r="E17" s="1" t="s">
        <v>380</v>
      </c>
    </row>
    <row r="18" hidden="1">
      <c r="A18" s="1">
        <v>16.0</v>
      </c>
      <c r="B18" s="1">
        <v>12.0</v>
      </c>
      <c r="C18" s="1">
        <v>1.0</v>
      </c>
      <c r="D18" s="1">
        <v>8.0</v>
      </c>
    </row>
    <row r="19" hidden="1">
      <c r="A19" s="1">
        <v>17.0</v>
      </c>
      <c r="B19" s="1">
        <v>182.0</v>
      </c>
      <c r="C19" s="1">
        <v>1.0</v>
      </c>
      <c r="D19" s="1">
        <v>8.0</v>
      </c>
    </row>
    <row r="20" hidden="1">
      <c r="A20" s="1">
        <v>18.0</v>
      </c>
      <c r="B20" s="1">
        <v>254.0</v>
      </c>
      <c r="C20" s="1">
        <v>1.0</v>
      </c>
      <c r="D20" s="1">
        <v>8.0</v>
      </c>
    </row>
    <row r="21" hidden="1">
      <c r="A21" s="1">
        <v>19.0</v>
      </c>
      <c r="B21" s="1">
        <v>246.0</v>
      </c>
      <c r="C21" s="1">
        <v>1.0</v>
      </c>
      <c r="D21" s="1">
        <v>8.0</v>
      </c>
    </row>
    <row r="22" hidden="1">
      <c r="A22" s="1">
        <v>20.0</v>
      </c>
      <c r="B22" s="1">
        <v>255.0</v>
      </c>
      <c r="C22" s="1">
        <v>1.0</v>
      </c>
      <c r="D22" s="1">
        <v>8.0</v>
      </c>
    </row>
    <row r="23" hidden="1">
      <c r="A23" s="1">
        <v>21.0</v>
      </c>
      <c r="B23" s="1">
        <v>232.0</v>
      </c>
      <c r="C23" s="1">
        <v>1.0</v>
      </c>
      <c r="D23" s="1">
        <v>8.0</v>
      </c>
    </row>
    <row r="24" hidden="1">
      <c r="A24" s="1">
        <v>22.0</v>
      </c>
      <c r="B24" s="1">
        <v>185.0</v>
      </c>
      <c r="C24" s="1">
        <v>1.0</v>
      </c>
      <c r="D24" s="1">
        <v>8.0</v>
      </c>
    </row>
    <row r="25" hidden="1">
      <c r="A25" s="1">
        <v>23.0</v>
      </c>
      <c r="B25" s="1">
        <v>46.0</v>
      </c>
      <c r="C25" s="1">
        <v>1.0</v>
      </c>
      <c r="D25" s="1">
        <v>8.0</v>
      </c>
    </row>
    <row r="26" hidden="1">
      <c r="A26" s="1">
        <v>24.0</v>
      </c>
      <c r="B26" s="1">
        <v>262.0</v>
      </c>
      <c r="C26" s="1">
        <v>1.0</v>
      </c>
      <c r="D26" s="1">
        <v>8.0</v>
      </c>
    </row>
    <row r="27" hidden="1">
      <c r="A27" s="1">
        <v>25.0</v>
      </c>
      <c r="B27" s="1">
        <v>6.0</v>
      </c>
      <c r="C27" s="1">
        <v>1.0</v>
      </c>
      <c r="D27" s="1">
        <v>8.0</v>
      </c>
    </row>
    <row r="28" hidden="1">
      <c r="A28" s="1">
        <v>26.0</v>
      </c>
      <c r="B28" s="1">
        <v>41.0</v>
      </c>
      <c r="C28" s="1">
        <v>1.0</v>
      </c>
      <c r="D28" s="1">
        <v>8.0</v>
      </c>
    </row>
    <row r="29" hidden="1">
      <c r="A29" s="1">
        <v>27.0</v>
      </c>
      <c r="B29" s="1">
        <v>116.0</v>
      </c>
      <c r="C29" s="1">
        <v>6.0</v>
      </c>
      <c r="D29" s="1">
        <v>8.0</v>
      </c>
    </row>
    <row r="30" hidden="1">
      <c r="A30" s="1">
        <v>28.0</v>
      </c>
      <c r="B30" s="1">
        <v>63.0</v>
      </c>
      <c r="C30" s="1">
        <v>6.0</v>
      </c>
      <c r="D30" s="1">
        <v>8.0</v>
      </c>
    </row>
    <row r="31" hidden="1">
      <c r="A31" s="1">
        <v>29.0</v>
      </c>
      <c r="B31" s="1">
        <v>317.0</v>
      </c>
      <c r="C31" s="1">
        <v>6.0</v>
      </c>
      <c r="D31" s="1">
        <v>8.0</v>
      </c>
    </row>
    <row r="32" hidden="1">
      <c r="A32" s="1">
        <v>30.0</v>
      </c>
      <c r="B32" s="1">
        <v>315.0</v>
      </c>
      <c r="C32" s="1">
        <v>6.0</v>
      </c>
      <c r="D32" s="1">
        <v>8.0</v>
      </c>
    </row>
    <row r="33" hidden="1">
      <c r="A33" s="1">
        <v>31.0</v>
      </c>
      <c r="B33" s="1">
        <v>65.0</v>
      </c>
      <c r="C33" s="1">
        <v>6.0</v>
      </c>
      <c r="D33" s="1">
        <v>8.0</v>
      </c>
    </row>
    <row r="34" hidden="1">
      <c r="A34" s="1">
        <v>32.0</v>
      </c>
      <c r="B34" s="1">
        <v>313.0</v>
      </c>
      <c r="C34" s="1">
        <v>6.0</v>
      </c>
      <c r="D34" s="1">
        <v>8.0</v>
      </c>
    </row>
    <row r="35" hidden="1">
      <c r="A35" s="1">
        <v>33.0</v>
      </c>
      <c r="B35" s="1">
        <v>244.0</v>
      </c>
      <c r="C35" s="1">
        <v>6.0</v>
      </c>
      <c r="D35" s="1">
        <v>8.0</v>
      </c>
    </row>
    <row r="36" hidden="1">
      <c r="A36" s="1">
        <v>34.0</v>
      </c>
      <c r="B36" s="1">
        <v>54.0</v>
      </c>
      <c r="C36" s="1">
        <v>6.0</v>
      </c>
      <c r="D36" s="1">
        <v>8.0</v>
      </c>
    </row>
    <row r="37" hidden="1">
      <c r="A37" s="1">
        <v>35.0</v>
      </c>
      <c r="B37" s="1">
        <v>66.0</v>
      </c>
      <c r="C37" s="1">
        <v>6.0</v>
      </c>
      <c r="D37" s="1">
        <v>8.0</v>
      </c>
    </row>
    <row r="38" hidden="1">
      <c r="A38" s="1">
        <v>36.0</v>
      </c>
      <c r="B38" s="1">
        <v>100.0</v>
      </c>
      <c r="C38" s="1">
        <v>6.0</v>
      </c>
      <c r="D38" s="1">
        <v>8.0</v>
      </c>
    </row>
    <row r="39" hidden="1">
      <c r="A39" s="1">
        <v>37.0</v>
      </c>
      <c r="B39" s="1">
        <v>316.0</v>
      </c>
      <c r="C39" s="1">
        <v>6.0</v>
      </c>
      <c r="D39" s="1">
        <v>8.0</v>
      </c>
    </row>
    <row r="40">
      <c r="A40" s="1">
        <v>38.0</v>
      </c>
      <c r="B40" s="1">
        <v>73.0</v>
      </c>
      <c r="C40" s="1">
        <v>6.0</v>
      </c>
      <c r="D40" s="1">
        <v>8.0</v>
      </c>
    </row>
    <row r="41" hidden="1">
      <c r="A41" s="1">
        <v>39.0</v>
      </c>
      <c r="B41" s="1">
        <v>76.0</v>
      </c>
      <c r="C41" s="1">
        <v>6.0</v>
      </c>
      <c r="D41" s="1">
        <v>8.0</v>
      </c>
      <c r="E41" s="1" t="s">
        <v>380</v>
      </c>
    </row>
    <row r="42" hidden="1">
      <c r="A42" s="1">
        <v>40.0</v>
      </c>
      <c r="B42" s="1">
        <v>26.0</v>
      </c>
      <c r="C42" s="1">
        <v>6.0</v>
      </c>
      <c r="D42" s="1">
        <v>8.0</v>
      </c>
    </row>
    <row r="43" hidden="1">
      <c r="A43" s="1">
        <v>41.0</v>
      </c>
      <c r="B43" s="1">
        <v>86.0</v>
      </c>
      <c r="C43" s="1">
        <v>6.0</v>
      </c>
      <c r="D43" s="1">
        <v>8.0</v>
      </c>
    </row>
    <row r="44" hidden="1">
      <c r="A44" s="1">
        <v>42.0</v>
      </c>
      <c r="B44" s="1">
        <v>132.0</v>
      </c>
      <c r="C44" s="1">
        <v>6.0</v>
      </c>
      <c r="D44" s="1">
        <v>8.0</v>
      </c>
    </row>
    <row r="45">
      <c r="A45" s="1">
        <v>43.0</v>
      </c>
      <c r="B45" s="1">
        <v>68.0</v>
      </c>
      <c r="C45" s="1">
        <v>6.0</v>
      </c>
      <c r="D45" s="1">
        <v>8.0</v>
      </c>
    </row>
    <row r="46" hidden="1">
      <c r="A46" s="1">
        <v>44.0</v>
      </c>
      <c r="B46" s="1">
        <v>311.0</v>
      </c>
      <c r="C46" s="1">
        <v>6.0</v>
      </c>
      <c r="D46" s="1">
        <v>8.0</v>
      </c>
    </row>
    <row r="47" hidden="1">
      <c r="A47" s="1">
        <v>45.0</v>
      </c>
      <c r="B47" s="1">
        <v>74.0</v>
      </c>
      <c r="C47" s="1">
        <v>6.0</v>
      </c>
      <c r="D47" s="1">
        <v>8.0</v>
      </c>
      <c r="E47" s="1" t="s">
        <v>379</v>
      </c>
    </row>
    <row r="48" hidden="1">
      <c r="A48" s="1">
        <v>46.0</v>
      </c>
      <c r="B48" s="1">
        <v>67.0</v>
      </c>
      <c r="C48" s="1">
        <v>6.0</v>
      </c>
      <c r="D48" s="1">
        <v>8.0</v>
      </c>
      <c r="E48" s="1" t="s">
        <v>379</v>
      </c>
    </row>
    <row r="49">
      <c r="A49" s="1">
        <v>47.0</v>
      </c>
      <c r="B49" s="1">
        <v>56.0</v>
      </c>
      <c r="C49" s="1">
        <v>6.0</v>
      </c>
      <c r="D49" s="1">
        <v>8.0</v>
      </c>
    </row>
    <row r="50" hidden="1">
      <c r="A50" s="1">
        <v>48.0</v>
      </c>
      <c r="B50" s="1">
        <v>44.0</v>
      </c>
      <c r="C50" s="1">
        <v>6.0</v>
      </c>
      <c r="D50" s="1">
        <v>8.0</v>
      </c>
    </row>
    <row r="51" hidden="1">
      <c r="A51" s="1">
        <v>49.0</v>
      </c>
      <c r="B51" s="1">
        <v>200.0</v>
      </c>
      <c r="C51" s="1">
        <v>6.0</v>
      </c>
      <c r="D51" s="1">
        <v>8.0</v>
      </c>
    </row>
    <row r="52" hidden="1">
      <c r="A52" s="1">
        <v>50.0</v>
      </c>
      <c r="B52" s="1">
        <v>211.0</v>
      </c>
      <c r="C52" s="1">
        <v>6.0</v>
      </c>
      <c r="D52" s="1">
        <v>8.0</v>
      </c>
    </row>
    <row r="53" hidden="1">
      <c r="A53" s="1">
        <v>51.0</v>
      </c>
      <c r="B53" s="1">
        <v>85.0</v>
      </c>
      <c r="C53" s="1">
        <v>6.0</v>
      </c>
      <c r="D53" s="1">
        <v>8.0</v>
      </c>
    </row>
    <row r="54" hidden="1">
      <c r="A54" s="1">
        <v>52.0</v>
      </c>
      <c r="B54" s="1">
        <v>314.0</v>
      </c>
      <c r="C54" s="1">
        <v>6.0</v>
      </c>
      <c r="D54" s="1">
        <v>8.0</v>
      </c>
    </row>
    <row r="55" hidden="1">
      <c r="A55" s="1">
        <v>53.0</v>
      </c>
      <c r="B55" s="1">
        <v>291.0</v>
      </c>
      <c r="C55" s="1">
        <v>8.0</v>
      </c>
      <c r="D55" s="1">
        <v>8.0</v>
      </c>
    </row>
    <row r="56" hidden="1">
      <c r="A56" s="1">
        <v>54.0</v>
      </c>
      <c r="B56" s="1">
        <v>142.0</v>
      </c>
      <c r="C56" s="1">
        <v>8.0</v>
      </c>
      <c r="D56" s="1">
        <v>8.0</v>
      </c>
    </row>
    <row r="57" hidden="1">
      <c r="A57" s="1">
        <v>55.0</v>
      </c>
      <c r="B57" s="1">
        <v>36.0</v>
      </c>
      <c r="C57" s="1">
        <v>8.0</v>
      </c>
      <c r="D57" s="1">
        <v>8.0</v>
      </c>
    </row>
    <row r="58" hidden="1">
      <c r="A58" s="1">
        <v>56.0</v>
      </c>
      <c r="B58" s="1">
        <v>237.0</v>
      </c>
      <c r="C58" s="1">
        <v>8.0</v>
      </c>
      <c r="D58" s="1">
        <v>8.0</v>
      </c>
    </row>
    <row r="59" hidden="1">
      <c r="A59" s="1">
        <v>57.0</v>
      </c>
      <c r="B59" s="1">
        <v>138.0</v>
      </c>
      <c r="C59" s="1">
        <v>8.0</v>
      </c>
      <c r="D59" s="1">
        <v>8.0</v>
      </c>
    </row>
    <row r="60">
      <c r="A60" s="1">
        <v>58.0</v>
      </c>
      <c r="B60" s="1">
        <v>91.0</v>
      </c>
      <c r="C60" s="1">
        <v>8.0</v>
      </c>
      <c r="D60" s="1">
        <v>8.0</v>
      </c>
    </row>
    <row r="61" hidden="1">
      <c r="A61" s="1">
        <v>59.0</v>
      </c>
      <c r="B61" s="1">
        <v>181.0</v>
      </c>
      <c r="C61" s="1">
        <v>8.0</v>
      </c>
      <c r="D61" s="1">
        <v>8.0</v>
      </c>
    </row>
    <row r="62" hidden="1">
      <c r="A62" s="1">
        <v>60.0</v>
      </c>
      <c r="B62" s="1">
        <v>13.0</v>
      </c>
      <c r="C62" s="1">
        <v>8.0</v>
      </c>
      <c r="D62" s="1">
        <v>8.0</v>
      </c>
      <c r="E62" s="1" t="s">
        <v>380</v>
      </c>
    </row>
    <row r="63" hidden="1">
      <c r="A63" s="1">
        <v>61.0</v>
      </c>
      <c r="B63" s="1">
        <v>34.0</v>
      </c>
      <c r="C63" s="1">
        <v>8.0</v>
      </c>
      <c r="D63" s="1">
        <v>8.0</v>
      </c>
      <c r="E63" s="1" t="s">
        <v>379</v>
      </c>
    </row>
    <row r="64" hidden="1">
      <c r="A64" s="1">
        <v>62.0</v>
      </c>
      <c r="B64" s="1">
        <v>292.0</v>
      </c>
      <c r="C64" s="1">
        <v>8.0</v>
      </c>
      <c r="D64" s="1">
        <v>8.0</v>
      </c>
    </row>
    <row r="65" hidden="1">
      <c r="A65" s="1">
        <v>63.0</v>
      </c>
      <c r="B65" s="1">
        <v>295.0</v>
      </c>
      <c r="C65" s="1">
        <v>8.0</v>
      </c>
      <c r="D65" s="1">
        <v>8.0</v>
      </c>
    </row>
    <row r="66" hidden="1">
      <c r="A66" s="1">
        <v>64.0</v>
      </c>
      <c r="B66" s="1">
        <v>293.0</v>
      </c>
      <c r="C66" s="1">
        <v>8.0</v>
      </c>
      <c r="D66" s="1">
        <v>8.0</v>
      </c>
    </row>
    <row r="67" hidden="1">
      <c r="A67" s="1">
        <v>65.0</v>
      </c>
      <c r="B67" s="1">
        <v>49.0</v>
      </c>
      <c r="C67" s="1">
        <v>8.0</v>
      </c>
      <c r="D67" s="1">
        <v>8.0</v>
      </c>
    </row>
    <row r="68" hidden="1">
      <c r="A68" s="1">
        <v>66.0</v>
      </c>
      <c r="B68" s="1">
        <v>210.0</v>
      </c>
      <c r="C68" s="1">
        <v>8.0</v>
      </c>
      <c r="D68" s="1">
        <v>8.0</v>
      </c>
    </row>
    <row r="69" hidden="1">
      <c r="A69" s="1">
        <v>67.0</v>
      </c>
      <c r="B69" s="1">
        <v>224.0</v>
      </c>
      <c r="C69" s="1">
        <v>8.0</v>
      </c>
      <c r="D69" s="1">
        <v>8.0</v>
      </c>
    </row>
    <row r="70" hidden="1">
      <c r="A70" s="1">
        <v>68.0</v>
      </c>
      <c r="B70" s="1">
        <v>62.0</v>
      </c>
      <c r="C70" s="1">
        <v>8.0</v>
      </c>
      <c r="D70" s="1">
        <v>8.0</v>
      </c>
    </row>
    <row r="71">
      <c r="A71" s="1">
        <v>69.0</v>
      </c>
      <c r="B71" s="1">
        <v>196.0</v>
      </c>
      <c r="C71" s="1">
        <v>8.0</v>
      </c>
      <c r="D71" s="1">
        <v>8.0</v>
      </c>
    </row>
    <row r="72" hidden="1">
      <c r="A72" s="1">
        <v>70.0</v>
      </c>
      <c r="B72" s="1">
        <v>203.0</v>
      </c>
      <c r="C72" s="1">
        <v>8.0</v>
      </c>
      <c r="D72" s="1">
        <v>8.0</v>
      </c>
    </row>
    <row r="73" hidden="1">
      <c r="A73" s="1">
        <v>71.0</v>
      </c>
      <c r="B73" s="1">
        <v>298.0</v>
      </c>
      <c r="C73" s="1">
        <v>8.0</v>
      </c>
      <c r="D73" s="1">
        <v>8.0</v>
      </c>
    </row>
    <row r="74">
      <c r="A74" s="1">
        <v>72.0</v>
      </c>
      <c r="B74" s="1">
        <v>2.0</v>
      </c>
      <c r="C74" s="1">
        <v>8.0</v>
      </c>
      <c r="D74" s="1">
        <v>8.0</v>
      </c>
      <c r="E74" s="1" t="s">
        <v>379</v>
      </c>
    </row>
    <row r="75" hidden="1">
      <c r="A75" s="1">
        <v>73.0</v>
      </c>
      <c r="B75" s="1">
        <v>99.0</v>
      </c>
      <c r="C75" s="1">
        <v>8.0</v>
      </c>
      <c r="D75" s="1">
        <v>8.0</v>
      </c>
    </row>
    <row r="76" hidden="1">
      <c r="A76" s="1">
        <v>74.0</v>
      </c>
      <c r="B76" s="1">
        <v>294.0</v>
      </c>
      <c r="C76" s="1">
        <v>8.0</v>
      </c>
      <c r="D76" s="1">
        <v>8.0</v>
      </c>
    </row>
    <row r="77" hidden="1">
      <c r="A77" s="1">
        <v>75.0</v>
      </c>
      <c r="B77" s="1">
        <v>208.0</v>
      </c>
      <c r="C77" s="1">
        <v>8.0</v>
      </c>
      <c r="D77" s="1">
        <v>8.0</v>
      </c>
    </row>
    <row r="78" hidden="1">
      <c r="A78" s="1">
        <v>76.0</v>
      </c>
      <c r="B78" s="1">
        <v>155.0</v>
      </c>
      <c r="C78" s="1">
        <v>8.0</v>
      </c>
      <c r="D78" s="1">
        <v>8.0</v>
      </c>
    </row>
    <row r="79" hidden="1">
      <c r="A79" s="1">
        <v>77.0</v>
      </c>
      <c r="B79" s="1">
        <v>134.0</v>
      </c>
      <c r="C79" s="1">
        <v>8.0</v>
      </c>
      <c r="D79" s="1">
        <v>8.0</v>
      </c>
    </row>
    <row r="80" hidden="1">
      <c r="A80" s="1">
        <v>78.0</v>
      </c>
      <c r="B80" s="1">
        <v>250.0</v>
      </c>
      <c r="C80" s="1">
        <v>8.0</v>
      </c>
      <c r="D80" s="1">
        <v>8.0</v>
      </c>
    </row>
  </sheetData>
  <autoFilter ref="$A$2:$E$80">
    <filterColumn colId="1">
      <filters>
        <filter val="196"/>
        <filter val="91"/>
        <filter val="56"/>
        <filter val="15"/>
        <filter val="2"/>
        <filter val="68"/>
        <filter val="259"/>
        <filter val="73"/>
      </filters>
    </filterColumn>
  </autoFilter>
  <conditionalFormatting sqref="A1:B80 C1:D1">
    <cfRule type="expression" dxfId="0" priority="1">
      <formula>COUNTIF(A:A, A1)&gt;1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4" t="s">
        <v>82</v>
      </c>
      <c r="B1" s="4" t="s">
        <v>260</v>
      </c>
      <c r="C1" s="4" t="s">
        <v>260</v>
      </c>
      <c r="D1" s="4" t="s">
        <v>260</v>
      </c>
      <c r="F1" s="6"/>
      <c r="G1" s="6"/>
      <c r="H1" s="6" t="s">
        <v>83</v>
      </c>
    </row>
    <row r="2">
      <c r="A2" s="4" t="s">
        <v>374</v>
      </c>
      <c r="B2" s="4" t="s">
        <v>84</v>
      </c>
      <c r="C2" s="4" t="s">
        <v>53</v>
      </c>
      <c r="D2" s="1" t="s">
        <v>29</v>
      </c>
      <c r="E2" s="1" t="s">
        <v>378</v>
      </c>
      <c r="F2" s="1" t="s">
        <v>381</v>
      </c>
      <c r="G2" s="1" t="s">
        <v>174</v>
      </c>
      <c r="I2" s="4"/>
    </row>
    <row r="3">
      <c r="A3" s="1" t="str">
        <f t="shared" ref="A3:A43" si="1">CONCAT(CONCAT(B3,C3),D3)</f>
        <v>618</v>
      </c>
      <c r="B3" s="1">
        <v>6.0</v>
      </c>
      <c r="C3" s="1">
        <v>1.0</v>
      </c>
      <c r="D3" s="1">
        <v>8.0</v>
      </c>
      <c r="F3" s="1">
        <v>44.0</v>
      </c>
      <c r="G3" s="1" t="s">
        <v>184</v>
      </c>
    </row>
    <row r="4">
      <c r="A4" s="1" t="str">
        <f t="shared" si="1"/>
        <v>1218</v>
      </c>
      <c r="B4" s="1">
        <v>12.0</v>
      </c>
      <c r="C4" s="1">
        <v>1.0</v>
      </c>
      <c r="D4" s="1">
        <v>8.0</v>
      </c>
      <c r="F4" s="1">
        <v>77.0</v>
      </c>
      <c r="G4" s="1" t="s">
        <v>178</v>
      </c>
    </row>
    <row r="5">
      <c r="A5" s="1" t="str">
        <f t="shared" si="1"/>
        <v>1388</v>
      </c>
      <c r="B5" s="1">
        <v>13.0</v>
      </c>
      <c r="C5" s="1">
        <v>8.0</v>
      </c>
      <c r="D5" s="1">
        <v>8.0</v>
      </c>
      <c r="E5" s="1" t="s">
        <v>380</v>
      </c>
      <c r="F5" s="1">
        <v>5.0</v>
      </c>
      <c r="G5" s="1" t="s">
        <v>198</v>
      </c>
    </row>
    <row r="6">
      <c r="A6" s="1" t="str">
        <f t="shared" si="1"/>
        <v>2668</v>
      </c>
      <c r="B6" s="1">
        <v>26.0</v>
      </c>
      <c r="C6" s="1">
        <v>6.0</v>
      </c>
      <c r="D6" s="1">
        <v>8.0</v>
      </c>
      <c r="F6" s="1">
        <v>8.0</v>
      </c>
      <c r="G6" s="1" t="s">
        <v>200</v>
      </c>
    </row>
    <row r="7">
      <c r="A7" s="1" t="str">
        <f t="shared" si="1"/>
        <v>3488</v>
      </c>
      <c r="B7" s="1">
        <v>34.0</v>
      </c>
      <c r="C7" s="1">
        <v>8.0</v>
      </c>
      <c r="D7" s="1">
        <v>8.0</v>
      </c>
      <c r="E7" s="1" t="s">
        <v>379</v>
      </c>
      <c r="F7" s="1">
        <v>31.0</v>
      </c>
      <c r="G7" s="1" t="s">
        <v>211</v>
      </c>
    </row>
    <row r="8">
      <c r="A8" s="1" t="str">
        <f t="shared" si="1"/>
        <v>3688</v>
      </c>
      <c r="B8" s="1">
        <v>36.0</v>
      </c>
      <c r="C8" s="1">
        <v>8.0</v>
      </c>
      <c r="D8" s="1">
        <v>8.0</v>
      </c>
      <c r="F8" s="1">
        <v>9.0</v>
      </c>
      <c r="G8" s="1" t="s">
        <v>216</v>
      </c>
    </row>
    <row r="9">
      <c r="A9" s="1" t="str">
        <f t="shared" si="1"/>
        <v>4468</v>
      </c>
      <c r="B9" s="1">
        <v>44.0</v>
      </c>
      <c r="C9" s="1">
        <v>6.0</v>
      </c>
      <c r="D9" s="1">
        <v>8.0</v>
      </c>
      <c r="F9" s="1">
        <v>20.0</v>
      </c>
      <c r="G9" s="1" t="s">
        <v>216</v>
      </c>
    </row>
    <row r="10">
      <c r="A10" s="1" t="str">
        <f t="shared" si="1"/>
        <v>4988</v>
      </c>
      <c r="B10" s="1">
        <v>49.0</v>
      </c>
      <c r="C10" s="1">
        <v>8.0</v>
      </c>
      <c r="D10" s="1">
        <v>8.0</v>
      </c>
      <c r="F10" s="1">
        <v>40.0</v>
      </c>
      <c r="G10" s="1" t="s">
        <v>216</v>
      </c>
    </row>
    <row r="11">
      <c r="A11" s="1" t="str">
        <f t="shared" si="1"/>
        <v>5218</v>
      </c>
      <c r="B11" s="1">
        <v>52.0</v>
      </c>
      <c r="C11" s="1">
        <v>1.0</v>
      </c>
      <c r="D11" s="1">
        <v>8.0</v>
      </c>
      <c r="E11" s="1" t="s">
        <v>380</v>
      </c>
      <c r="F11" s="1">
        <v>17.0</v>
      </c>
      <c r="G11" s="1" t="s">
        <v>231</v>
      </c>
    </row>
    <row r="12">
      <c r="A12" s="1" t="str">
        <f t="shared" si="1"/>
        <v>6288</v>
      </c>
      <c r="B12" s="1">
        <v>62.0</v>
      </c>
      <c r="C12" s="1">
        <v>8.0</v>
      </c>
      <c r="D12" s="1">
        <v>8.0</v>
      </c>
      <c r="F12" s="1">
        <v>1.0</v>
      </c>
      <c r="G12" s="1" t="s">
        <v>211</v>
      </c>
    </row>
    <row r="13">
      <c r="A13" s="1" t="str">
        <f t="shared" si="1"/>
        <v>6368</v>
      </c>
      <c r="B13" s="1">
        <v>63.0</v>
      </c>
      <c r="C13" s="1">
        <v>6.0</v>
      </c>
      <c r="D13" s="1">
        <v>8.0</v>
      </c>
      <c r="F13" s="1">
        <v>9.0</v>
      </c>
      <c r="G13" s="1" t="s">
        <v>216</v>
      </c>
    </row>
    <row r="14">
      <c r="A14" s="1" t="str">
        <f t="shared" si="1"/>
        <v>7468</v>
      </c>
      <c r="B14" s="1">
        <v>74.0</v>
      </c>
      <c r="C14" s="1">
        <v>6.0</v>
      </c>
      <c r="D14" s="1">
        <v>8.0</v>
      </c>
      <c r="E14" s="1" t="s">
        <v>379</v>
      </c>
      <c r="F14" s="1">
        <v>13.0</v>
      </c>
      <c r="G14" s="1" t="s">
        <v>216</v>
      </c>
    </row>
    <row r="15">
      <c r="A15" s="1" t="str">
        <f t="shared" si="1"/>
        <v>7668</v>
      </c>
      <c r="B15" s="1">
        <v>76.0</v>
      </c>
      <c r="C15" s="1">
        <v>6.0</v>
      </c>
      <c r="D15" s="1">
        <v>8.0</v>
      </c>
      <c r="E15" s="1" t="s">
        <v>380</v>
      </c>
      <c r="F15" s="1">
        <v>19.0</v>
      </c>
      <c r="G15" s="1" t="s">
        <v>216</v>
      </c>
    </row>
    <row r="16">
      <c r="A16" s="1" t="str">
        <f t="shared" si="1"/>
        <v>7818</v>
      </c>
      <c r="B16" s="1">
        <v>78.0</v>
      </c>
      <c r="C16" s="1">
        <v>1.0</v>
      </c>
      <c r="D16" s="1">
        <v>8.0</v>
      </c>
      <c r="F16" s="1">
        <v>21.0</v>
      </c>
      <c r="G16" s="1" t="s">
        <v>216</v>
      </c>
    </row>
    <row r="17">
      <c r="A17" s="1" t="str">
        <f t="shared" si="1"/>
        <v>9988</v>
      </c>
      <c r="B17" s="1">
        <v>99.0</v>
      </c>
      <c r="C17" s="1">
        <v>8.0</v>
      </c>
      <c r="D17" s="1">
        <v>8.0</v>
      </c>
      <c r="F17" s="1">
        <v>25.0</v>
      </c>
      <c r="G17" s="1" t="s">
        <v>216</v>
      </c>
    </row>
    <row r="18">
      <c r="A18" s="1" t="str">
        <f t="shared" si="1"/>
        <v>13888</v>
      </c>
      <c r="B18" s="1">
        <v>138.0</v>
      </c>
      <c r="C18" s="1">
        <v>8.0</v>
      </c>
      <c r="D18" s="1">
        <v>8.0</v>
      </c>
      <c r="F18" s="1">
        <v>78.0</v>
      </c>
      <c r="G18" s="1" t="s">
        <v>216</v>
      </c>
    </row>
    <row r="19">
      <c r="A19" s="1" t="str">
        <f t="shared" si="1"/>
        <v>14918</v>
      </c>
      <c r="B19" s="1">
        <v>149.0</v>
      </c>
      <c r="C19" s="1">
        <v>1.0</v>
      </c>
      <c r="D19" s="1">
        <v>8.0</v>
      </c>
      <c r="F19" s="1">
        <v>20.0</v>
      </c>
      <c r="G19" s="1" t="s">
        <v>231</v>
      </c>
    </row>
    <row r="20">
      <c r="A20" s="1" t="str">
        <f t="shared" si="1"/>
        <v>15588</v>
      </c>
      <c r="B20" s="1">
        <v>155.0</v>
      </c>
      <c r="C20" s="1">
        <v>8.0</v>
      </c>
      <c r="D20" s="1">
        <v>8.0</v>
      </c>
      <c r="F20" s="1">
        <v>24.0</v>
      </c>
      <c r="G20" s="1" t="s">
        <v>231</v>
      </c>
    </row>
    <row r="21">
      <c r="A21" s="1" t="str">
        <f t="shared" si="1"/>
        <v>18188</v>
      </c>
      <c r="B21" s="1">
        <v>181.0</v>
      </c>
      <c r="C21" s="1">
        <v>8.0</v>
      </c>
      <c r="D21" s="1">
        <v>8.0</v>
      </c>
      <c r="F21" s="1">
        <v>30.0</v>
      </c>
      <c r="G21" s="1" t="s">
        <v>211</v>
      </c>
    </row>
    <row r="22">
      <c r="A22" s="1" t="str">
        <f t="shared" si="1"/>
        <v>18518</v>
      </c>
      <c r="B22" s="1">
        <v>185.0</v>
      </c>
      <c r="C22" s="1">
        <v>1.0</v>
      </c>
      <c r="D22" s="1">
        <v>8.0</v>
      </c>
      <c r="F22" s="1">
        <v>3.0</v>
      </c>
      <c r="G22" s="1" t="s">
        <v>198</v>
      </c>
    </row>
    <row r="23">
      <c r="A23" s="1" t="str">
        <f t="shared" si="1"/>
        <v>21088</v>
      </c>
      <c r="B23" s="1">
        <v>210.0</v>
      </c>
      <c r="C23" s="1">
        <v>8.0</v>
      </c>
      <c r="D23" s="1">
        <v>8.0</v>
      </c>
      <c r="F23" s="1">
        <v>55.0</v>
      </c>
      <c r="G23" s="1" t="s">
        <v>198</v>
      </c>
    </row>
    <row r="24">
      <c r="A24" s="1" t="str">
        <f t="shared" si="1"/>
        <v>21168</v>
      </c>
      <c r="B24" s="1">
        <v>211.0</v>
      </c>
      <c r="C24" s="1">
        <v>6.0</v>
      </c>
      <c r="D24" s="1">
        <v>8.0</v>
      </c>
      <c r="F24" s="1">
        <v>25.0</v>
      </c>
      <c r="G24" s="1" t="s">
        <v>216</v>
      </c>
    </row>
    <row r="25">
      <c r="A25" s="1" t="str">
        <f t="shared" si="1"/>
        <v>24468</v>
      </c>
      <c r="B25" s="1">
        <v>244.0</v>
      </c>
      <c r="C25" s="1">
        <v>6.0</v>
      </c>
      <c r="D25" s="1">
        <v>8.0</v>
      </c>
      <c r="F25" s="1">
        <v>12.0</v>
      </c>
      <c r="G25" s="1" t="s">
        <v>231</v>
      </c>
    </row>
    <row r="26">
      <c r="A26" s="1" t="str">
        <f t="shared" si="1"/>
        <v>24618</v>
      </c>
      <c r="B26" s="1">
        <v>246.0</v>
      </c>
      <c r="C26" s="1">
        <v>1.0</v>
      </c>
      <c r="D26" s="1">
        <v>8.0</v>
      </c>
      <c r="F26" s="1">
        <v>88.0</v>
      </c>
      <c r="G26" s="1" t="s">
        <v>216</v>
      </c>
    </row>
    <row r="27">
      <c r="A27" s="1" t="str">
        <f t="shared" si="1"/>
        <v>29488</v>
      </c>
      <c r="B27" s="1">
        <v>294.0</v>
      </c>
      <c r="C27" s="1">
        <v>8.0</v>
      </c>
      <c r="D27" s="1">
        <v>8.0</v>
      </c>
      <c r="F27" s="1">
        <v>2.0</v>
      </c>
      <c r="G27" s="1" t="s">
        <v>231</v>
      </c>
    </row>
    <row r="28">
      <c r="A28" s="1" t="str">
        <f t="shared" si="1"/>
        <v>31668</v>
      </c>
      <c r="B28" s="1">
        <v>316.0</v>
      </c>
      <c r="C28" s="1">
        <v>6.0</v>
      </c>
      <c r="D28" s="1">
        <v>8.0</v>
      </c>
      <c r="F28" s="1">
        <v>11.0</v>
      </c>
      <c r="G28" s="1" t="s">
        <v>178</v>
      </c>
    </row>
    <row r="29">
      <c r="A29" s="1" t="str">
        <f t="shared" si="1"/>
        <v>1518</v>
      </c>
      <c r="B29" s="1">
        <v>15.0</v>
      </c>
      <c r="C29" s="1">
        <v>1.0</v>
      </c>
      <c r="D29" s="1">
        <v>8.0</v>
      </c>
      <c r="E29" s="1" t="s">
        <v>379</v>
      </c>
      <c r="F29" s="1">
        <v>19.0</v>
      </c>
      <c r="G29" s="1" t="s">
        <v>176</v>
      </c>
    </row>
    <row r="30">
      <c r="A30" s="1" t="str">
        <f t="shared" si="1"/>
        <v>25918</v>
      </c>
      <c r="B30" s="1">
        <v>259.0</v>
      </c>
      <c r="C30" s="1">
        <v>1.0</v>
      </c>
      <c r="D30" s="1">
        <v>8.0</v>
      </c>
      <c r="F30" s="1">
        <v>27.0</v>
      </c>
      <c r="G30" s="1" t="s">
        <v>216</v>
      </c>
    </row>
    <row r="31">
      <c r="A31" s="1" t="str">
        <f t="shared" si="1"/>
        <v>7368</v>
      </c>
      <c r="B31" s="1">
        <v>73.0</v>
      </c>
      <c r="C31" s="1">
        <v>6.0</v>
      </c>
      <c r="D31" s="1">
        <v>8.0</v>
      </c>
      <c r="F31" s="1">
        <v>42.0</v>
      </c>
      <c r="G31" s="1" t="s">
        <v>216</v>
      </c>
    </row>
    <row r="32">
      <c r="A32" s="1" t="str">
        <f t="shared" si="1"/>
        <v>6868</v>
      </c>
      <c r="B32" s="1">
        <v>68.0</v>
      </c>
      <c r="C32" s="1">
        <v>6.0</v>
      </c>
      <c r="D32" s="1">
        <v>8.0</v>
      </c>
      <c r="F32" s="1">
        <v>6.0</v>
      </c>
      <c r="G32" s="1" t="s">
        <v>231</v>
      </c>
    </row>
    <row r="33">
      <c r="A33" s="1" t="str">
        <f t="shared" si="1"/>
        <v>5668</v>
      </c>
      <c r="B33" s="1">
        <v>56.0</v>
      </c>
      <c r="C33" s="1">
        <v>6.0</v>
      </c>
      <c r="D33" s="1">
        <v>8.0</v>
      </c>
      <c r="F33" s="1">
        <v>15.0</v>
      </c>
      <c r="G33" s="1" t="s">
        <v>231</v>
      </c>
    </row>
    <row r="34">
      <c r="A34" s="1" t="str">
        <f t="shared" si="1"/>
        <v>9188</v>
      </c>
      <c r="B34" s="1">
        <v>91.0</v>
      </c>
      <c r="C34" s="1">
        <v>8.0</v>
      </c>
      <c r="D34" s="1">
        <v>8.0</v>
      </c>
      <c r="F34" s="1">
        <v>17.0</v>
      </c>
      <c r="G34" s="1" t="s">
        <v>216</v>
      </c>
    </row>
    <row r="35">
      <c r="A35" s="1" t="str">
        <f t="shared" si="1"/>
        <v>19688</v>
      </c>
      <c r="B35" s="1">
        <v>196.0</v>
      </c>
      <c r="C35" s="1">
        <v>8.0</v>
      </c>
      <c r="D35" s="1">
        <v>8.0</v>
      </c>
      <c r="F35" s="1">
        <v>11.0</v>
      </c>
      <c r="G35" s="1" t="s">
        <v>231</v>
      </c>
    </row>
    <row r="36">
      <c r="A36" s="1" t="str">
        <f t="shared" si="1"/>
        <v>288</v>
      </c>
      <c r="B36" s="1">
        <v>2.0</v>
      </c>
      <c r="C36" s="1">
        <v>8.0</v>
      </c>
      <c r="D36" s="1">
        <v>8.0</v>
      </c>
      <c r="E36" s="1" t="s">
        <v>379</v>
      </c>
      <c r="F36" s="1">
        <v>3.0</v>
      </c>
      <c r="G36" s="1" t="s">
        <v>231</v>
      </c>
    </row>
    <row r="37">
      <c r="A37" s="1" t="str">
        <f t="shared" si="1"/>
        <v>10068</v>
      </c>
      <c r="B37" s="1">
        <v>100.0</v>
      </c>
      <c r="C37" s="1">
        <v>6.0</v>
      </c>
      <c r="D37" s="1">
        <v>8.0</v>
      </c>
      <c r="F37" s="1">
        <v>24.0</v>
      </c>
      <c r="G37" s="1" t="s">
        <v>216</v>
      </c>
    </row>
    <row r="38">
      <c r="A38" s="1" t="str">
        <f t="shared" si="1"/>
        <v>23788</v>
      </c>
      <c r="B38" s="1">
        <v>237.0</v>
      </c>
      <c r="C38" s="1">
        <v>8.0</v>
      </c>
      <c r="D38" s="1">
        <v>8.0</v>
      </c>
      <c r="F38" s="1">
        <v>10.0</v>
      </c>
      <c r="G38" s="1" t="s">
        <v>216</v>
      </c>
    </row>
    <row r="39">
      <c r="A39" s="1" t="str">
        <f t="shared" si="1"/>
        <v>20388</v>
      </c>
      <c r="B39" s="1">
        <v>203.0</v>
      </c>
      <c r="C39" s="1">
        <v>8.0</v>
      </c>
      <c r="D39" s="1">
        <v>8.0</v>
      </c>
      <c r="F39" s="1">
        <v>5.0</v>
      </c>
      <c r="G39" s="1" t="s">
        <v>231</v>
      </c>
    </row>
    <row r="40">
      <c r="A40" s="1" t="str">
        <f t="shared" si="1"/>
        <v>13488</v>
      </c>
      <c r="B40" s="1">
        <v>134.0</v>
      </c>
      <c r="C40" s="1">
        <v>8.0</v>
      </c>
      <c r="D40" s="1">
        <v>8.0</v>
      </c>
      <c r="F40" s="1">
        <v>70.0</v>
      </c>
      <c r="G40" s="1" t="s">
        <v>211</v>
      </c>
    </row>
    <row r="41">
      <c r="A41" s="1" t="str">
        <f t="shared" si="1"/>
        <v>14098</v>
      </c>
      <c r="B41" s="1">
        <v>140.0</v>
      </c>
      <c r="C41" s="1">
        <v>9.0</v>
      </c>
      <c r="D41" s="1">
        <v>8.0</v>
      </c>
      <c r="F41" s="1">
        <v>18.0</v>
      </c>
      <c r="G41" s="1" t="s">
        <v>216</v>
      </c>
    </row>
    <row r="42">
      <c r="A42" s="1" t="str">
        <f t="shared" si="1"/>
        <v>8998</v>
      </c>
      <c r="B42" s="1">
        <v>89.0</v>
      </c>
      <c r="C42" s="1">
        <v>9.0</v>
      </c>
      <c r="D42" s="1">
        <v>8.0</v>
      </c>
      <c r="F42" s="1">
        <v>34.0</v>
      </c>
      <c r="G42" s="1" t="s">
        <v>216</v>
      </c>
    </row>
    <row r="43">
      <c r="A43" s="1" t="str">
        <f t="shared" si="1"/>
        <v>6498</v>
      </c>
      <c r="B43" s="1">
        <v>64.0</v>
      </c>
      <c r="C43" s="1">
        <v>9.0</v>
      </c>
      <c r="D43" s="1">
        <v>8.0</v>
      </c>
      <c r="F43" s="1">
        <v>50.0</v>
      </c>
      <c r="G43" s="1" t="s">
        <v>211</v>
      </c>
    </row>
    <row r="44">
      <c r="I44" s="20"/>
    </row>
    <row r="45">
      <c r="I45" s="20"/>
    </row>
    <row r="46">
      <c r="I46" s="20"/>
    </row>
    <row r="47">
      <c r="I47" s="20"/>
    </row>
    <row r="48">
      <c r="I48" s="20"/>
    </row>
    <row r="49">
      <c r="I49" s="20"/>
    </row>
  </sheetData>
  <conditionalFormatting sqref="F1:H1">
    <cfRule type="expression" dxfId="0" priority="1">
      <formula>COUNTIF(A:A, F1)&gt;1</formula>
    </cfRule>
  </conditionalFormatting>
  <conditionalFormatting sqref="A1:A986 B1:B37 B49:B986">
    <cfRule type="expression" dxfId="0" priority="2">
      <formula>COUNTIF(A:A, A1)&gt;1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8" max="8" width="23.13"/>
  </cols>
  <sheetData>
    <row r="1">
      <c r="A1" s="4" t="s">
        <v>264</v>
      </c>
      <c r="B1" s="4" t="s">
        <v>382</v>
      </c>
      <c r="C1" s="4" t="s">
        <v>383</v>
      </c>
      <c r="D1" s="4" t="s">
        <v>0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  <c r="J1" s="4" t="s">
        <v>389</v>
      </c>
      <c r="K1" s="4" t="s">
        <v>390</v>
      </c>
      <c r="L1" s="4" t="s">
        <v>391</v>
      </c>
    </row>
    <row r="2">
      <c r="A2" s="1">
        <v>259.0</v>
      </c>
      <c r="B2" s="3" t="s">
        <v>392</v>
      </c>
      <c r="C2" s="1">
        <v>50.0</v>
      </c>
      <c r="D2" s="1">
        <v>7.0</v>
      </c>
      <c r="E2" s="1">
        <v>12774.0</v>
      </c>
      <c r="F2" s="1" t="str">
        <f>"0000-01-01 19:07:00"</f>
        <v>0000-01-01 19:07:00</v>
      </c>
      <c r="G2" s="21" t="str">
        <f>"0000-01-01 21:52:00"</f>
        <v>0000-01-01 21:52:00</v>
      </c>
      <c r="H2" s="21" t="str">
        <f>"0000-01-01 02:45:00"</f>
        <v>0000-01-01 02:45:00</v>
      </c>
      <c r="I2" s="1" t="s">
        <v>393</v>
      </c>
      <c r="J2" s="1">
        <v>8.0</v>
      </c>
      <c r="K2" s="1">
        <v>8.0</v>
      </c>
      <c r="L2" s="1">
        <v>1.0</v>
      </c>
    </row>
    <row r="3">
      <c r="A3" s="1">
        <v>261.0</v>
      </c>
      <c r="B3" s="3" t="s">
        <v>394</v>
      </c>
      <c r="C3" s="1">
        <v>52.0</v>
      </c>
      <c r="D3" s="1">
        <v>7.0</v>
      </c>
      <c r="E3" s="1">
        <v>10160.0</v>
      </c>
      <c r="F3" s="1" t="str">
        <f>"0000-01-01 19:08:00"</f>
        <v>0000-01-01 19:08:00</v>
      </c>
      <c r="G3" s="21" t="str">
        <f>"0000-01-01 21:39:00"</f>
        <v>0000-01-01 21:39:00</v>
      </c>
      <c r="H3" s="21" t="str">
        <f>"0000-01-01 02:31:00"</f>
        <v>0000-01-01 02:31:00</v>
      </c>
      <c r="I3" s="1" t="s">
        <v>395</v>
      </c>
      <c r="J3" s="1">
        <v>8.0</v>
      </c>
      <c r="K3" s="1">
        <v>8.0</v>
      </c>
      <c r="L3" s="1">
        <v>6.0</v>
      </c>
    </row>
    <row r="4">
      <c r="A4" s="1">
        <v>335.0</v>
      </c>
      <c r="B4" s="3" t="s">
        <v>396</v>
      </c>
      <c r="C4" s="1">
        <v>6.0</v>
      </c>
      <c r="D4" s="1">
        <v>8.0</v>
      </c>
      <c r="E4" s="1">
        <v>86.0</v>
      </c>
      <c r="F4" s="1" t="s">
        <v>397</v>
      </c>
      <c r="G4" s="1" t="s">
        <v>398</v>
      </c>
      <c r="H4" s="11">
        <v>0.10277777777777777</v>
      </c>
      <c r="I4" s="1" t="s">
        <v>395</v>
      </c>
      <c r="J4" s="1">
        <v>7.0</v>
      </c>
      <c r="K4" s="1">
        <v>9.0</v>
      </c>
      <c r="L4" s="1">
        <v>8.0</v>
      </c>
    </row>
    <row r="6">
      <c r="F6" s="22"/>
    </row>
    <row r="1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C12" s="23"/>
      <c r="I12" s="11"/>
    </row>
    <row r="13">
      <c r="A13" s="4"/>
      <c r="C13" s="23"/>
      <c r="I13" s="11"/>
    </row>
    <row r="14">
      <c r="A14" s="4"/>
      <c r="C14" s="23"/>
      <c r="I14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5"/>
    <col customWidth="1" min="3" max="3" width="21.0"/>
    <col customWidth="1" min="4" max="4" width="11.5"/>
  </cols>
  <sheetData>
    <row r="1">
      <c r="A1" s="1" t="s">
        <v>82</v>
      </c>
    </row>
    <row r="2">
      <c r="A2" s="1" t="s">
        <v>399</v>
      </c>
      <c r="B2" s="1" t="s">
        <v>400</v>
      </c>
      <c r="C2" s="1" t="s">
        <v>401</v>
      </c>
      <c r="D2" s="1" t="s">
        <v>402</v>
      </c>
    </row>
    <row r="3">
      <c r="A3" s="1">
        <v>1.0</v>
      </c>
      <c r="B3" s="3" t="s">
        <v>403</v>
      </c>
      <c r="C3" s="3" t="s">
        <v>404</v>
      </c>
      <c r="D3" s="1" t="s">
        <v>405</v>
      </c>
    </row>
    <row r="4">
      <c r="A4" s="1">
        <v>2.0</v>
      </c>
      <c r="B4" s="3" t="s">
        <v>404</v>
      </c>
      <c r="C4" s="3" t="s">
        <v>406</v>
      </c>
      <c r="D4" s="1" t="s">
        <v>407</v>
      </c>
    </row>
    <row r="5">
      <c r="A5" s="1">
        <v>3.0</v>
      </c>
      <c r="B5" s="3" t="s">
        <v>406</v>
      </c>
      <c r="C5" s="3" t="s">
        <v>408</v>
      </c>
      <c r="D5" s="1" t="s">
        <v>409</v>
      </c>
    </row>
    <row r="6">
      <c r="A6" s="1">
        <v>4.0</v>
      </c>
      <c r="B6" s="3" t="s">
        <v>408</v>
      </c>
      <c r="C6" s="3" t="s">
        <v>410</v>
      </c>
      <c r="D6" s="1" t="s">
        <v>411</v>
      </c>
    </row>
    <row r="7">
      <c r="A7" s="1">
        <v>5.0</v>
      </c>
      <c r="B7" s="3" t="s">
        <v>410</v>
      </c>
      <c r="C7" s="3" t="s">
        <v>412</v>
      </c>
      <c r="D7" s="1" t="s">
        <v>413</v>
      </c>
    </row>
    <row r="11">
      <c r="B11" s="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414</v>
      </c>
    </row>
    <row r="2">
      <c r="A2" s="24" t="s">
        <v>415</v>
      </c>
    </row>
    <row r="4">
      <c r="A4" s="25" t="s">
        <v>416</v>
      </c>
    </row>
    <row r="5">
      <c r="A5" s="26" t="s">
        <v>417</v>
      </c>
    </row>
    <row r="6">
      <c r="A6" s="26" t="s">
        <v>418</v>
      </c>
    </row>
    <row r="7">
      <c r="A7" s="26" t="s">
        <v>419</v>
      </c>
    </row>
    <row r="8">
      <c r="A8" s="26" t="s">
        <v>420</v>
      </c>
    </row>
    <row r="9">
      <c r="A9" s="26" t="s">
        <v>421</v>
      </c>
    </row>
    <row r="10">
      <c r="A10" s="26" t="s">
        <v>422</v>
      </c>
    </row>
    <row r="11">
      <c r="A11" s="26" t="s">
        <v>423</v>
      </c>
    </row>
    <row r="12">
      <c r="A12" s="26" t="s">
        <v>424</v>
      </c>
    </row>
    <row r="13">
      <c r="A13" s="26" t="s">
        <v>425</v>
      </c>
    </row>
    <row r="15">
      <c r="A15" s="25" t="s">
        <v>426</v>
      </c>
    </row>
    <row r="16">
      <c r="A16" s="26" t="s">
        <v>427</v>
      </c>
    </row>
    <row r="17">
      <c r="A17" s="26" t="s">
        <v>428</v>
      </c>
    </row>
    <row r="18">
      <c r="A18" s="26" t="s">
        <v>419</v>
      </c>
    </row>
    <row r="19">
      <c r="A19" s="26" t="s">
        <v>429</v>
      </c>
    </row>
    <row r="20">
      <c r="A20" s="26" t="s">
        <v>430</v>
      </c>
    </row>
    <row r="21">
      <c r="A21" s="26" t="s">
        <v>431</v>
      </c>
    </row>
    <row r="22">
      <c r="A22" s="26" t="s">
        <v>432</v>
      </c>
    </row>
    <row r="23">
      <c r="A23" s="26" t="s">
        <v>433</v>
      </c>
    </row>
    <row r="24">
      <c r="A24" s="26" t="s">
        <v>434</v>
      </c>
    </row>
    <row r="25">
      <c r="A25" s="25"/>
    </row>
    <row r="26">
      <c r="A26" s="27" t="s">
        <v>435</v>
      </c>
    </row>
    <row r="27">
      <c r="A27" s="26" t="s">
        <v>436</v>
      </c>
    </row>
    <row r="28">
      <c r="A28" s="26" t="s">
        <v>437</v>
      </c>
    </row>
  </sheetData>
  <hyperlinks>
    <hyperlink r:id="rId1" ref="A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438</v>
      </c>
      <c r="B1" s="4" t="s">
        <v>439</v>
      </c>
      <c r="C1" s="4" t="s">
        <v>440</v>
      </c>
      <c r="D1" s="4" t="s">
        <v>441</v>
      </c>
      <c r="E1" s="4" t="s">
        <v>262</v>
      </c>
      <c r="F1" s="4" t="s">
        <v>442</v>
      </c>
      <c r="G1" s="4" t="s">
        <v>443</v>
      </c>
      <c r="H1" s="4" t="s">
        <v>306</v>
      </c>
    </row>
    <row r="2">
      <c r="A2" s="1" t="str">
        <f t="shared" ref="A2:A420" si="1">CONCAT(B2,H2)</f>
        <v>0259</v>
      </c>
      <c r="B2" s="1">
        <v>0.0</v>
      </c>
      <c r="C2" s="1" t="s">
        <v>444</v>
      </c>
      <c r="D2" s="1">
        <v>1.0</v>
      </c>
      <c r="E2" s="11">
        <v>0.0</v>
      </c>
      <c r="F2" s="1"/>
      <c r="G2" s="1"/>
      <c r="H2" s="1">
        <v>259.0</v>
      </c>
    </row>
    <row r="3">
      <c r="A3" s="1" t="str">
        <f t="shared" si="1"/>
        <v>1259</v>
      </c>
      <c r="B3" s="1">
        <v>1.0</v>
      </c>
      <c r="C3" s="1" t="s">
        <v>444</v>
      </c>
      <c r="D3" s="1">
        <v>1.0</v>
      </c>
      <c r="E3" s="11">
        <v>0.0</v>
      </c>
      <c r="F3" s="1"/>
      <c r="G3" s="1"/>
      <c r="H3" s="1">
        <v>259.0</v>
      </c>
    </row>
    <row r="4">
      <c r="A4" s="1" t="str">
        <f t="shared" si="1"/>
        <v>2259</v>
      </c>
      <c r="B4" s="1">
        <v>2.0</v>
      </c>
      <c r="C4" s="1" t="s">
        <v>445</v>
      </c>
      <c r="D4" s="1">
        <v>1.0</v>
      </c>
      <c r="E4" s="11">
        <v>0.0</v>
      </c>
      <c r="F4" s="1">
        <v>300.0</v>
      </c>
      <c r="G4" s="1">
        <v>150.0</v>
      </c>
      <c r="H4" s="1">
        <v>259.0</v>
      </c>
    </row>
    <row r="5">
      <c r="A5" s="1" t="str">
        <f t="shared" si="1"/>
        <v>3259</v>
      </c>
      <c r="B5" s="1">
        <v>3.0</v>
      </c>
      <c r="C5" s="1" t="s">
        <v>446</v>
      </c>
      <c r="D5" s="1">
        <v>1.0</v>
      </c>
      <c r="E5" s="11">
        <v>0.06944444444444445</v>
      </c>
      <c r="F5" s="1">
        <v>202.0</v>
      </c>
      <c r="G5" s="1">
        <v>54.0</v>
      </c>
      <c r="H5" s="1">
        <v>259.0</v>
      </c>
    </row>
    <row r="6">
      <c r="A6" s="1" t="str">
        <f t="shared" si="1"/>
        <v>4259</v>
      </c>
      <c r="B6" s="1">
        <v>4.0</v>
      </c>
      <c r="C6" s="1" t="s">
        <v>447</v>
      </c>
      <c r="D6" s="1">
        <v>1.0</v>
      </c>
      <c r="E6" s="11">
        <v>0.09166666666666666</v>
      </c>
      <c r="F6" s="1">
        <v>66.0</v>
      </c>
      <c r="G6" s="1">
        <v>194.0</v>
      </c>
      <c r="H6" s="1">
        <v>259.0</v>
      </c>
    </row>
    <row r="7">
      <c r="A7" s="1" t="str">
        <f t="shared" si="1"/>
        <v>5259</v>
      </c>
      <c r="B7" s="1">
        <v>5.0</v>
      </c>
      <c r="C7" s="1" t="s">
        <v>445</v>
      </c>
      <c r="D7" s="1">
        <v>1.0</v>
      </c>
      <c r="E7" s="11">
        <v>0.10486111111111111</v>
      </c>
      <c r="F7" s="1">
        <v>397.0</v>
      </c>
      <c r="G7" s="1">
        <v>273.0</v>
      </c>
      <c r="H7" s="1">
        <v>259.0</v>
      </c>
    </row>
    <row r="8">
      <c r="A8" s="1" t="str">
        <f t="shared" si="1"/>
        <v>6259</v>
      </c>
      <c r="B8" s="1">
        <v>6.0</v>
      </c>
      <c r="C8" s="1" t="s">
        <v>445</v>
      </c>
      <c r="D8" s="1">
        <v>1.0</v>
      </c>
      <c r="E8" s="11">
        <v>0.13194444444444445</v>
      </c>
      <c r="F8" s="1">
        <v>300.0</v>
      </c>
      <c r="G8" s="1">
        <v>150.0</v>
      </c>
      <c r="H8" s="1">
        <v>259.0</v>
      </c>
    </row>
    <row r="9">
      <c r="A9" s="1" t="str">
        <f t="shared" si="1"/>
        <v>7259</v>
      </c>
      <c r="B9" s="1">
        <v>7.0</v>
      </c>
      <c r="C9" s="1" t="s">
        <v>446</v>
      </c>
      <c r="D9" s="1">
        <v>1.0</v>
      </c>
      <c r="E9" s="11">
        <v>0.15138888888888888</v>
      </c>
      <c r="F9" s="1">
        <v>101.0</v>
      </c>
      <c r="G9" s="1">
        <v>109.0</v>
      </c>
      <c r="H9" s="1">
        <v>259.0</v>
      </c>
    </row>
    <row r="10">
      <c r="A10" s="1" t="str">
        <f t="shared" si="1"/>
        <v>8259</v>
      </c>
      <c r="B10" s="1">
        <v>8.0</v>
      </c>
      <c r="C10" s="1" t="s">
        <v>445</v>
      </c>
      <c r="D10" s="1">
        <v>1.0</v>
      </c>
      <c r="E10" s="11">
        <v>0.15694444444444444</v>
      </c>
      <c r="F10" s="1">
        <v>143.0</v>
      </c>
      <c r="G10" s="1">
        <v>251.0</v>
      </c>
      <c r="H10" s="1">
        <v>259.0</v>
      </c>
    </row>
    <row r="11">
      <c r="A11" s="1" t="str">
        <f t="shared" si="1"/>
        <v>9259</v>
      </c>
      <c r="B11" s="1">
        <v>9.0</v>
      </c>
      <c r="C11" s="1" t="s">
        <v>447</v>
      </c>
      <c r="D11" s="1">
        <v>1.0</v>
      </c>
      <c r="E11" s="11">
        <v>0.18125</v>
      </c>
      <c r="F11" s="1">
        <v>136.0</v>
      </c>
      <c r="G11" s="1">
        <v>193.0</v>
      </c>
      <c r="H11" s="1">
        <v>259.0</v>
      </c>
    </row>
    <row r="12">
      <c r="A12" s="1" t="str">
        <f t="shared" si="1"/>
        <v>10259</v>
      </c>
      <c r="B12" s="1">
        <v>10.0</v>
      </c>
      <c r="C12" s="1" t="s">
        <v>446</v>
      </c>
      <c r="D12" s="1">
        <v>1.0</v>
      </c>
      <c r="E12" s="11">
        <v>0.2076388888888889</v>
      </c>
      <c r="F12" s="1">
        <v>399.0</v>
      </c>
      <c r="G12" s="1">
        <v>268.0</v>
      </c>
      <c r="H12" s="1">
        <v>259.0</v>
      </c>
    </row>
    <row r="13">
      <c r="A13" s="1" t="str">
        <f t="shared" si="1"/>
        <v>11259</v>
      </c>
      <c r="B13" s="1">
        <v>11.0</v>
      </c>
      <c r="C13" s="1" t="s">
        <v>448</v>
      </c>
      <c r="D13" s="1">
        <v>1.0</v>
      </c>
      <c r="E13" s="11">
        <v>0.21597222222222223</v>
      </c>
      <c r="F13" s="1"/>
      <c r="G13" s="1"/>
      <c r="H13" s="1">
        <v>259.0</v>
      </c>
    </row>
    <row r="14">
      <c r="A14" s="1" t="str">
        <f t="shared" si="1"/>
        <v>12259</v>
      </c>
      <c r="B14" s="1">
        <v>12.0</v>
      </c>
      <c r="C14" s="1" t="s">
        <v>445</v>
      </c>
      <c r="D14" s="1">
        <v>1.0</v>
      </c>
      <c r="E14" s="11">
        <v>0.21597222222222223</v>
      </c>
      <c r="F14" s="1">
        <v>143.0</v>
      </c>
      <c r="G14" s="1">
        <v>251.0</v>
      </c>
      <c r="H14" s="1">
        <v>259.0</v>
      </c>
    </row>
    <row r="15">
      <c r="A15" s="1" t="str">
        <f t="shared" si="1"/>
        <v>13259</v>
      </c>
      <c r="B15" s="1">
        <v>13.0</v>
      </c>
      <c r="C15" s="1" t="s">
        <v>445</v>
      </c>
      <c r="D15" s="1">
        <v>1.0</v>
      </c>
      <c r="E15" s="11">
        <v>0.23333333333333334</v>
      </c>
      <c r="F15" s="1">
        <v>143.0</v>
      </c>
      <c r="G15" s="1">
        <v>251.0</v>
      </c>
      <c r="H15" s="1">
        <v>259.0</v>
      </c>
    </row>
    <row r="16">
      <c r="A16" s="1" t="str">
        <f t="shared" si="1"/>
        <v>14259</v>
      </c>
      <c r="B16" s="1">
        <v>14.0</v>
      </c>
      <c r="C16" s="1" t="s">
        <v>447</v>
      </c>
      <c r="D16" s="1">
        <v>1.0</v>
      </c>
      <c r="E16" s="11">
        <v>0.23402777777777778</v>
      </c>
      <c r="F16" s="1">
        <v>174.0</v>
      </c>
      <c r="G16" s="1">
        <v>202.0</v>
      </c>
      <c r="H16" s="1">
        <v>259.0</v>
      </c>
    </row>
    <row r="17">
      <c r="A17" s="1" t="str">
        <f t="shared" si="1"/>
        <v>15259</v>
      </c>
      <c r="B17" s="1">
        <v>15.0</v>
      </c>
      <c r="C17" s="1" t="s">
        <v>445</v>
      </c>
      <c r="D17" s="1">
        <v>1.0</v>
      </c>
      <c r="E17" s="11">
        <v>0.24583333333333332</v>
      </c>
      <c r="F17" s="1">
        <v>247.0</v>
      </c>
      <c r="G17" s="1">
        <v>273.0</v>
      </c>
      <c r="H17" s="1">
        <v>259.0</v>
      </c>
    </row>
    <row r="18">
      <c r="A18" s="1" t="str">
        <f t="shared" si="1"/>
        <v>16259</v>
      </c>
      <c r="B18" s="1">
        <v>16.0</v>
      </c>
      <c r="C18" s="1" t="s">
        <v>446</v>
      </c>
      <c r="D18" s="1">
        <v>1.0</v>
      </c>
      <c r="E18" s="11">
        <v>0.2638888888888889</v>
      </c>
      <c r="F18" s="1">
        <v>175.0</v>
      </c>
      <c r="G18" s="1">
        <v>143.0</v>
      </c>
      <c r="H18" s="1">
        <v>259.0</v>
      </c>
    </row>
    <row r="19">
      <c r="A19" s="1" t="str">
        <f t="shared" si="1"/>
        <v>17259</v>
      </c>
      <c r="B19" s="1">
        <v>17.0</v>
      </c>
      <c r="C19" s="1" t="s">
        <v>446</v>
      </c>
      <c r="D19" s="1">
        <v>1.0</v>
      </c>
      <c r="E19" s="11">
        <v>0.2708333333333333</v>
      </c>
      <c r="F19" s="1">
        <v>129.0</v>
      </c>
      <c r="G19" s="1">
        <v>86.0</v>
      </c>
      <c r="H19" s="1">
        <v>259.0</v>
      </c>
    </row>
    <row r="20">
      <c r="A20" s="1" t="str">
        <f t="shared" si="1"/>
        <v>18259</v>
      </c>
      <c r="B20" s="1">
        <v>18.0</v>
      </c>
      <c r="C20" s="1" t="s">
        <v>446</v>
      </c>
      <c r="D20" s="1">
        <v>1.0</v>
      </c>
      <c r="E20" s="11">
        <v>0.2722222222222222</v>
      </c>
      <c r="F20" s="1">
        <v>141.0</v>
      </c>
      <c r="G20" s="1">
        <v>53.0</v>
      </c>
      <c r="H20" s="1">
        <v>259.0</v>
      </c>
    </row>
    <row r="21">
      <c r="A21" s="1" t="str">
        <f t="shared" si="1"/>
        <v>19259</v>
      </c>
      <c r="B21" s="1">
        <v>19.0</v>
      </c>
      <c r="C21" s="1" t="s">
        <v>446</v>
      </c>
      <c r="D21" s="1">
        <v>1.0</v>
      </c>
      <c r="E21" s="11">
        <v>0.28125</v>
      </c>
      <c r="F21" s="1">
        <v>63.0</v>
      </c>
      <c r="G21" s="1">
        <v>159.0</v>
      </c>
      <c r="H21" s="1">
        <v>259.0</v>
      </c>
    </row>
    <row r="22">
      <c r="A22" s="1" t="str">
        <f t="shared" si="1"/>
        <v>20259</v>
      </c>
      <c r="B22" s="1">
        <v>20.0</v>
      </c>
      <c r="C22" s="1" t="s">
        <v>447</v>
      </c>
      <c r="D22" s="1">
        <v>1.0</v>
      </c>
      <c r="E22" s="11">
        <v>0.2861111111111111</v>
      </c>
      <c r="F22" s="1">
        <v>156.0</v>
      </c>
      <c r="G22" s="1">
        <v>245.0</v>
      </c>
      <c r="H22" s="1">
        <v>259.0</v>
      </c>
    </row>
    <row r="23">
      <c r="A23" s="1" t="str">
        <f t="shared" si="1"/>
        <v>21259</v>
      </c>
      <c r="B23" s="1">
        <v>21.0</v>
      </c>
      <c r="C23" s="1" t="s">
        <v>447</v>
      </c>
      <c r="D23" s="1">
        <v>1.0</v>
      </c>
      <c r="E23" s="11">
        <v>0.28680555555555554</v>
      </c>
      <c r="F23" s="1">
        <v>167.0</v>
      </c>
      <c r="G23" s="1">
        <v>262.0</v>
      </c>
      <c r="H23" s="1">
        <v>259.0</v>
      </c>
    </row>
    <row r="24">
      <c r="A24" s="1" t="str">
        <f t="shared" si="1"/>
        <v>22259</v>
      </c>
      <c r="B24" s="1">
        <v>22.0</v>
      </c>
      <c r="C24" s="1" t="s">
        <v>445</v>
      </c>
      <c r="D24" s="1">
        <v>1.0</v>
      </c>
      <c r="E24" s="11">
        <v>0.28680555555555554</v>
      </c>
      <c r="F24" s="1">
        <v>300.0</v>
      </c>
      <c r="G24" s="1">
        <v>150.0</v>
      </c>
      <c r="H24" s="1">
        <v>259.0</v>
      </c>
    </row>
    <row r="25">
      <c r="A25" s="1" t="str">
        <f t="shared" si="1"/>
        <v>23259</v>
      </c>
      <c r="B25" s="1">
        <v>23.0</v>
      </c>
      <c r="C25" s="1" t="s">
        <v>445</v>
      </c>
      <c r="D25" s="1">
        <v>1.0</v>
      </c>
      <c r="E25" s="11">
        <v>0.3055555555555556</v>
      </c>
      <c r="F25" s="1">
        <v>247.0</v>
      </c>
      <c r="G25" s="1">
        <v>273.0</v>
      </c>
      <c r="H25" s="1">
        <v>259.0</v>
      </c>
    </row>
    <row r="26">
      <c r="A26" s="1" t="str">
        <f t="shared" si="1"/>
        <v>24259</v>
      </c>
      <c r="B26" s="1">
        <v>24.0</v>
      </c>
      <c r="C26" s="1" t="s">
        <v>445</v>
      </c>
      <c r="D26" s="1">
        <v>1.0</v>
      </c>
      <c r="E26" s="11">
        <v>0.32222222222222224</v>
      </c>
      <c r="F26" s="1">
        <v>143.0</v>
      </c>
      <c r="G26" s="1">
        <v>251.0</v>
      </c>
      <c r="H26" s="1">
        <v>259.0</v>
      </c>
    </row>
    <row r="27">
      <c r="A27" s="1" t="str">
        <f t="shared" si="1"/>
        <v>25259</v>
      </c>
      <c r="B27" s="1">
        <v>25.0</v>
      </c>
      <c r="C27" s="1" t="s">
        <v>445</v>
      </c>
      <c r="D27" s="1">
        <v>1.0</v>
      </c>
      <c r="E27" s="11">
        <v>0.33541666666666664</v>
      </c>
      <c r="F27" s="1">
        <v>500.0</v>
      </c>
      <c r="G27" s="1">
        <v>94.0</v>
      </c>
      <c r="H27" s="1">
        <v>259.0</v>
      </c>
    </row>
    <row r="28">
      <c r="A28" s="1" t="str">
        <f t="shared" si="1"/>
        <v>26259</v>
      </c>
      <c r="B28" s="1">
        <v>26.0</v>
      </c>
      <c r="C28" s="1" t="s">
        <v>445</v>
      </c>
      <c r="D28" s="1">
        <v>1.0</v>
      </c>
      <c r="E28" s="11">
        <v>0.3472222222222222</v>
      </c>
      <c r="F28" s="1">
        <v>500.0</v>
      </c>
      <c r="G28" s="1">
        <v>94.0</v>
      </c>
      <c r="H28" s="1">
        <v>259.0</v>
      </c>
    </row>
    <row r="29">
      <c r="A29" s="1" t="str">
        <f t="shared" si="1"/>
        <v>27259</v>
      </c>
      <c r="B29" s="1">
        <v>27.0</v>
      </c>
      <c r="C29" s="1" t="s">
        <v>447</v>
      </c>
      <c r="D29" s="1">
        <v>1.0</v>
      </c>
      <c r="E29" s="11">
        <v>0.37916666666666665</v>
      </c>
      <c r="F29" s="1">
        <v>83.0</v>
      </c>
      <c r="G29" s="1">
        <v>111.0</v>
      </c>
      <c r="H29" s="1">
        <v>259.0</v>
      </c>
    </row>
    <row r="30">
      <c r="A30" s="1" t="str">
        <f t="shared" si="1"/>
        <v>28259</v>
      </c>
      <c r="B30" s="1">
        <v>28.0</v>
      </c>
      <c r="C30" s="1" t="s">
        <v>446</v>
      </c>
      <c r="D30" s="1">
        <v>1.0</v>
      </c>
      <c r="E30" s="11">
        <v>0.4152777777777778</v>
      </c>
      <c r="F30" s="1">
        <v>424.0</v>
      </c>
      <c r="G30" s="1">
        <v>65.0</v>
      </c>
      <c r="H30" s="1">
        <v>259.0</v>
      </c>
    </row>
    <row r="31">
      <c r="A31" s="1" t="str">
        <f t="shared" si="1"/>
        <v>29259</v>
      </c>
      <c r="B31" s="1">
        <v>29.0</v>
      </c>
      <c r="C31" s="1" t="s">
        <v>448</v>
      </c>
      <c r="D31" s="1">
        <v>1.0</v>
      </c>
      <c r="E31" s="11">
        <v>0.4409722222222222</v>
      </c>
      <c r="F31" s="1"/>
      <c r="G31" s="1"/>
      <c r="H31" s="1">
        <v>259.0</v>
      </c>
    </row>
    <row r="32">
      <c r="A32" s="1" t="str">
        <f t="shared" si="1"/>
        <v>30259</v>
      </c>
      <c r="B32" s="1">
        <v>30.0</v>
      </c>
      <c r="C32" s="1" t="s">
        <v>445</v>
      </c>
      <c r="D32" s="1">
        <v>1.0</v>
      </c>
      <c r="E32" s="11">
        <v>0.4409722222222222</v>
      </c>
      <c r="F32" s="1">
        <v>500.0</v>
      </c>
      <c r="G32" s="1">
        <v>94.0</v>
      </c>
      <c r="H32" s="1">
        <v>259.0</v>
      </c>
    </row>
    <row r="33">
      <c r="A33" s="1" t="str">
        <f t="shared" si="1"/>
        <v>31259</v>
      </c>
      <c r="B33" s="1">
        <v>31.0</v>
      </c>
      <c r="C33" s="1" t="s">
        <v>447</v>
      </c>
      <c r="D33" s="1">
        <v>1.0</v>
      </c>
      <c r="E33" s="11">
        <v>0.45694444444444443</v>
      </c>
      <c r="F33" s="1">
        <v>471.0</v>
      </c>
      <c r="G33" s="1">
        <v>69.0</v>
      </c>
      <c r="H33" s="1">
        <v>259.0</v>
      </c>
    </row>
    <row r="34">
      <c r="A34" s="1" t="str">
        <f t="shared" si="1"/>
        <v>32259</v>
      </c>
      <c r="B34" s="1">
        <v>32.0</v>
      </c>
      <c r="C34" s="1" t="s">
        <v>445</v>
      </c>
      <c r="D34" s="1">
        <v>1.0</v>
      </c>
      <c r="E34" s="11">
        <v>0.4791666666666667</v>
      </c>
      <c r="F34" s="1">
        <v>500.0</v>
      </c>
      <c r="G34" s="1">
        <v>94.0</v>
      </c>
      <c r="H34" s="1">
        <v>259.0</v>
      </c>
    </row>
    <row r="35">
      <c r="A35" s="1" t="str">
        <f t="shared" si="1"/>
        <v>33259</v>
      </c>
      <c r="B35" s="1">
        <v>33.0</v>
      </c>
      <c r="C35" s="1" t="s">
        <v>449</v>
      </c>
      <c r="D35" s="1">
        <v>1.0</v>
      </c>
      <c r="E35" s="11">
        <v>0.5055555555555555</v>
      </c>
      <c r="F35" s="1">
        <v>407.0</v>
      </c>
      <c r="G35" s="1">
        <v>166.0</v>
      </c>
      <c r="H35" s="1">
        <v>259.0</v>
      </c>
    </row>
    <row r="36">
      <c r="A36" s="1" t="str">
        <f t="shared" si="1"/>
        <v>34259</v>
      </c>
      <c r="B36" s="1">
        <v>34.0</v>
      </c>
      <c r="C36" s="1" t="s">
        <v>448</v>
      </c>
      <c r="D36" s="1">
        <v>1.0</v>
      </c>
      <c r="E36" s="11">
        <v>0.5166666666666667</v>
      </c>
      <c r="F36" s="1"/>
      <c r="G36" s="1"/>
      <c r="H36" s="1">
        <v>259.0</v>
      </c>
    </row>
    <row r="37">
      <c r="A37" s="1" t="str">
        <f t="shared" si="1"/>
        <v>35259</v>
      </c>
      <c r="B37" s="1">
        <v>35.0</v>
      </c>
      <c r="C37" s="1" t="s">
        <v>445</v>
      </c>
      <c r="D37" s="1">
        <v>1.0</v>
      </c>
      <c r="E37" s="11">
        <v>0.5166666666666667</v>
      </c>
      <c r="F37" s="1">
        <v>500.0</v>
      </c>
      <c r="G37" s="1">
        <v>94.0</v>
      </c>
      <c r="H37" s="1">
        <v>259.0</v>
      </c>
    </row>
    <row r="38">
      <c r="A38" s="1" t="str">
        <f t="shared" si="1"/>
        <v>36259</v>
      </c>
      <c r="B38" s="1">
        <v>36.0</v>
      </c>
      <c r="C38" s="1" t="s">
        <v>447</v>
      </c>
      <c r="D38" s="1">
        <v>1.0</v>
      </c>
      <c r="E38" s="11">
        <v>0.5194444444444445</v>
      </c>
      <c r="F38" s="1">
        <v>423.0</v>
      </c>
      <c r="G38" s="1">
        <v>203.0</v>
      </c>
      <c r="H38" s="1">
        <v>259.0</v>
      </c>
    </row>
    <row r="39">
      <c r="A39" s="1" t="str">
        <f t="shared" si="1"/>
        <v>37259</v>
      </c>
      <c r="B39" s="1">
        <v>37.0</v>
      </c>
      <c r="C39" s="1" t="s">
        <v>450</v>
      </c>
      <c r="D39" s="1">
        <v>1.0</v>
      </c>
      <c r="E39" s="11">
        <v>0.5194444444444445</v>
      </c>
      <c r="F39" s="1">
        <v>423.0</v>
      </c>
      <c r="G39" s="1">
        <v>203.0</v>
      </c>
      <c r="H39" s="1">
        <v>259.0</v>
      </c>
    </row>
    <row r="40">
      <c r="A40" s="1" t="str">
        <f t="shared" si="1"/>
        <v>38259</v>
      </c>
      <c r="B40" s="1">
        <v>38.0</v>
      </c>
      <c r="C40" s="1" t="s">
        <v>445</v>
      </c>
      <c r="D40" s="1">
        <v>1.0</v>
      </c>
      <c r="E40" s="11">
        <v>0.5194444444444445</v>
      </c>
      <c r="F40" s="1">
        <v>300.0</v>
      </c>
      <c r="G40" s="1">
        <v>150.0</v>
      </c>
      <c r="H40" s="1">
        <v>259.0</v>
      </c>
    </row>
    <row r="41">
      <c r="A41" s="1" t="str">
        <f t="shared" si="1"/>
        <v>39259</v>
      </c>
      <c r="B41" s="1">
        <v>39.0</v>
      </c>
      <c r="C41" s="1" t="s">
        <v>449</v>
      </c>
      <c r="D41" s="1">
        <v>1.0</v>
      </c>
      <c r="E41" s="11">
        <v>0.5451388888888888</v>
      </c>
      <c r="F41" s="1">
        <v>181.0</v>
      </c>
      <c r="G41" s="1">
        <v>167.0</v>
      </c>
      <c r="H41" s="1">
        <v>259.0</v>
      </c>
    </row>
    <row r="42">
      <c r="A42" s="1" t="str">
        <f t="shared" si="1"/>
        <v>40259</v>
      </c>
      <c r="B42" s="1">
        <v>40.0</v>
      </c>
      <c r="C42" s="1" t="s">
        <v>447</v>
      </c>
      <c r="D42" s="1">
        <v>1.0</v>
      </c>
      <c r="E42" s="11">
        <v>0.5715277777777777</v>
      </c>
      <c r="F42" s="1">
        <v>487.0</v>
      </c>
      <c r="G42" s="1">
        <v>45.0</v>
      </c>
      <c r="H42" s="1">
        <v>259.0</v>
      </c>
    </row>
    <row r="43">
      <c r="A43" s="1" t="str">
        <f t="shared" si="1"/>
        <v>41259</v>
      </c>
      <c r="B43" s="1">
        <v>41.0</v>
      </c>
      <c r="C43" s="1" t="s">
        <v>446</v>
      </c>
      <c r="D43" s="1">
        <v>1.0</v>
      </c>
      <c r="E43" s="11">
        <v>0.5763888888888888</v>
      </c>
      <c r="F43" s="1">
        <v>434.0</v>
      </c>
      <c r="G43" s="1">
        <v>217.0</v>
      </c>
      <c r="H43" s="1">
        <v>259.0</v>
      </c>
    </row>
    <row r="44">
      <c r="A44" s="1" t="str">
        <f t="shared" si="1"/>
        <v>42259</v>
      </c>
      <c r="B44" s="1">
        <v>42.0</v>
      </c>
      <c r="C44" s="1" t="s">
        <v>445</v>
      </c>
      <c r="D44" s="1">
        <v>1.0</v>
      </c>
      <c r="E44" s="11">
        <v>0.5763888888888888</v>
      </c>
      <c r="F44" s="1">
        <v>500.0</v>
      </c>
      <c r="G44" s="1">
        <v>251.0</v>
      </c>
      <c r="H44" s="1">
        <v>259.0</v>
      </c>
    </row>
    <row r="45">
      <c r="A45" s="1" t="str">
        <f t="shared" si="1"/>
        <v>43259</v>
      </c>
      <c r="B45" s="1">
        <v>43.0</v>
      </c>
      <c r="C45" s="1" t="s">
        <v>446</v>
      </c>
      <c r="D45" s="1">
        <v>1.0</v>
      </c>
      <c r="E45" s="11">
        <v>0.5833333333333334</v>
      </c>
      <c r="F45" s="1">
        <v>389.0</v>
      </c>
      <c r="G45" s="1">
        <v>173.0</v>
      </c>
      <c r="H45" s="1">
        <v>259.0</v>
      </c>
    </row>
    <row r="46">
      <c r="A46" s="1" t="str">
        <f t="shared" si="1"/>
        <v>44259</v>
      </c>
      <c r="B46" s="1">
        <v>44.0</v>
      </c>
      <c r="C46" s="1" t="s">
        <v>447</v>
      </c>
      <c r="D46" s="1">
        <v>1.0</v>
      </c>
      <c r="E46" s="11">
        <v>0.6194444444444445</v>
      </c>
      <c r="F46" s="1">
        <v>202.0</v>
      </c>
      <c r="G46" s="1">
        <v>273.0</v>
      </c>
      <c r="H46" s="1">
        <v>259.0</v>
      </c>
    </row>
    <row r="47">
      <c r="A47" s="1" t="str">
        <f t="shared" si="1"/>
        <v>45259</v>
      </c>
      <c r="B47" s="1">
        <v>45.0</v>
      </c>
      <c r="C47" s="1" t="s">
        <v>445</v>
      </c>
      <c r="D47" s="1">
        <v>1.0</v>
      </c>
      <c r="E47" s="11">
        <v>0.6194444444444445</v>
      </c>
      <c r="F47" s="1">
        <v>143.0</v>
      </c>
      <c r="G47" s="1">
        <v>251.0</v>
      </c>
      <c r="H47" s="1">
        <v>259.0</v>
      </c>
    </row>
    <row r="48">
      <c r="A48" s="1" t="str">
        <f t="shared" si="1"/>
        <v>46259</v>
      </c>
      <c r="B48" s="1">
        <v>46.0</v>
      </c>
      <c r="C48" s="1" t="s">
        <v>445</v>
      </c>
      <c r="D48" s="1">
        <v>1.0</v>
      </c>
      <c r="E48" s="11">
        <v>0.6243055555555556</v>
      </c>
      <c r="F48" s="1">
        <v>143.0</v>
      </c>
      <c r="G48" s="1">
        <v>251.0</v>
      </c>
      <c r="H48" s="1">
        <v>259.0</v>
      </c>
    </row>
    <row r="49">
      <c r="A49" s="1" t="str">
        <f t="shared" si="1"/>
        <v>47259</v>
      </c>
      <c r="B49" s="1">
        <v>47.0</v>
      </c>
      <c r="C49" s="1" t="s">
        <v>447</v>
      </c>
      <c r="D49" s="1">
        <v>1.0</v>
      </c>
      <c r="E49" s="11">
        <v>0.6416666666666667</v>
      </c>
      <c r="F49" s="1">
        <v>62.0</v>
      </c>
      <c r="G49" s="1">
        <v>151.0</v>
      </c>
      <c r="H49" s="1">
        <v>259.0</v>
      </c>
    </row>
    <row r="50">
      <c r="A50" s="1" t="str">
        <f t="shared" si="1"/>
        <v>48259</v>
      </c>
      <c r="B50" s="1">
        <v>48.0</v>
      </c>
      <c r="C50" s="1" t="s">
        <v>445</v>
      </c>
      <c r="D50" s="1">
        <v>1.0</v>
      </c>
      <c r="E50" s="11">
        <v>0.6430555555555556</v>
      </c>
      <c r="F50" s="1">
        <v>143.0</v>
      </c>
      <c r="G50" s="1">
        <v>94.0</v>
      </c>
      <c r="H50" s="1">
        <v>259.0</v>
      </c>
    </row>
    <row r="51">
      <c r="A51" s="1" t="str">
        <f t="shared" si="1"/>
        <v>49259</v>
      </c>
      <c r="B51" s="1">
        <v>49.0</v>
      </c>
      <c r="C51" s="1" t="s">
        <v>447</v>
      </c>
      <c r="D51" s="1">
        <v>1.0</v>
      </c>
      <c r="E51" s="11">
        <v>0.6645833333333333</v>
      </c>
      <c r="F51" s="1">
        <v>442.0</v>
      </c>
      <c r="G51" s="1">
        <v>221.0</v>
      </c>
      <c r="H51" s="1">
        <v>259.0</v>
      </c>
    </row>
    <row r="52">
      <c r="A52" s="1" t="str">
        <f t="shared" si="1"/>
        <v>50259</v>
      </c>
      <c r="B52" s="1">
        <v>50.0</v>
      </c>
      <c r="C52" s="1" t="s">
        <v>445</v>
      </c>
      <c r="D52" s="1">
        <v>1.0</v>
      </c>
      <c r="E52" s="11">
        <v>0.6666666666666666</v>
      </c>
      <c r="F52" s="1">
        <v>500.0</v>
      </c>
      <c r="G52" s="1">
        <v>251.0</v>
      </c>
      <c r="H52" s="1">
        <v>259.0</v>
      </c>
    </row>
    <row r="53">
      <c r="A53" s="1" t="str">
        <f t="shared" si="1"/>
        <v>51259</v>
      </c>
      <c r="B53" s="1">
        <v>51.0</v>
      </c>
      <c r="C53" s="1" t="s">
        <v>447</v>
      </c>
      <c r="D53" s="1">
        <v>1.0</v>
      </c>
      <c r="E53" s="11">
        <v>0.6923611111111111</v>
      </c>
      <c r="F53" s="1">
        <v>183.0</v>
      </c>
      <c r="G53" s="1">
        <v>60.0</v>
      </c>
      <c r="H53" s="1">
        <v>259.0</v>
      </c>
    </row>
    <row r="54">
      <c r="A54" s="1" t="str">
        <f t="shared" si="1"/>
        <v>52259</v>
      </c>
      <c r="B54" s="1">
        <v>52.0</v>
      </c>
      <c r="C54" s="1" t="s">
        <v>448</v>
      </c>
      <c r="D54" s="1">
        <v>1.0</v>
      </c>
      <c r="E54" s="11">
        <v>0.7097222222222223</v>
      </c>
      <c r="F54" s="1"/>
      <c r="G54" s="1"/>
      <c r="H54" s="1">
        <v>259.0</v>
      </c>
    </row>
    <row r="55">
      <c r="A55" s="1" t="str">
        <f t="shared" si="1"/>
        <v>53259</v>
      </c>
      <c r="B55" s="1">
        <v>53.0</v>
      </c>
      <c r="C55" s="1" t="s">
        <v>445</v>
      </c>
      <c r="D55" s="1">
        <v>1.0</v>
      </c>
      <c r="E55" s="11">
        <v>0.7097222222222223</v>
      </c>
      <c r="F55" s="1">
        <v>300.0</v>
      </c>
      <c r="G55" s="1">
        <v>150.0</v>
      </c>
      <c r="H55" s="1">
        <v>259.0</v>
      </c>
    </row>
    <row r="56">
      <c r="A56" s="1" t="str">
        <f t="shared" si="1"/>
        <v>54259</v>
      </c>
      <c r="B56" s="1">
        <v>54.0</v>
      </c>
      <c r="C56" s="1" t="s">
        <v>446</v>
      </c>
      <c r="D56" s="1">
        <v>1.0</v>
      </c>
      <c r="E56" s="11">
        <v>0.7152777777777778</v>
      </c>
      <c r="F56" s="1">
        <v>111.0</v>
      </c>
      <c r="G56" s="1">
        <v>85.0</v>
      </c>
      <c r="H56" s="1">
        <v>259.0</v>
      </c>
    </row>
    <row r="57">
      <c r="A57" s="1" t="str">
        <f t="shared" si="1"/>
        <v>55259</v>
      </c>
      <c r="B57" s="1">
        <v>55.0</v>
      </c>
      <c r="C57" s="1" t="s">
        <v>447</v>
      </c>
      <c r="D57" s="1">
        <v>1.0</v>
      </c>
      <c r="E57" s="11">
        <v>0.7194444444444444</v>
      </c>
      <c r="F57" s="1">
        <v>49.0</v>
      </c>
      <c r="G57" s="1">
        <v>83.0</v>
      </c>
      <c r="H57" s="1">
        <v>259.0</v>
      </c>
    </row>
    <row r="58">
      <c r="A58" s="1" t="str">
        <f t="shared" si="1"/>
        <v>56259</v>
      </c>
      <c r="B58" s="1">
        <v>56.0</v>
      </c>
      <c r="C58" s="1" t="s">
        <v>445</v>
      </c>
      <c r="D58" s="1">
        <v>1.0</v>
      </c>
      <c r="E58" s="11">
        <v>0.7201388888888889</v>
      </c>
      <c r="F58" s="1">
        <v>143.0</v>
      </c>
      <c r="G58" s="1">
        <v>94.0</v>
      </c>
      <c r="H58" s="1">
        <v>259.0</v>
      </c>
    </row>
    <row r="59">
      <c r="A59" s="1" t="str">
        <f t="shared" si="1"/>
        <v>57259</v>
      </c>
      <c r="B59" s="1">
        <v>57.0</v>
      </c>
      <c r="C59" s="1" t="s">
        <v>447</v>
      </c>
      <c r="D59" s="1">
        <v>1.0</v>
      </c>
      <c r="E59" s="11">
        <v>0.7736111111111111</v>
      </c>
      <c r="F59" s="1">
        <v>63.0</v>
      </c>
      <c r="G59" s="1">
        <v>56.0</v>
      </c>
      <c r="H59" s="1">
        <v>259.0</v>
      </c>
    </row>
    <row r="60">
      <c r="A60" s="1" t="str">
        <f t="shared" si="1"/>
        <v>58259</v>
      </c>
      <c r="B60" s="1">
        <v>58.0</v>
      </c>
      <c r="C60" s="1" t="s">
        <v>449</v>
      </c>
      <c r="D60" s="1">
        <v>1.0</v>
      </c>
      <c r="E60" s="11">
        <v>0.7847222222222222</v>
      </c>
      <c r="F60" s="1">
        <v>160.0</v>
      </c>
      <c r="G60" s="1">
        <v>273.0</v>
      </c>
      <c r="H60" s="1">
        <v>259.0</v>
      </c>
    </row>
    <row r="61">
      <c r="A61" s="1" t="str">
        <f t="shared" si="1"/>
        <v>59259</v>
      </c>
      <c r="B61" s="1">
        <v>59.0</v>
      </c>
      <c r="C61" s="1" t="s">
        <v>446</v>
      </c>
      <c r="D61" s="1">
        <v>1.0</v>
      </c>
      <c r="E61" s="11">
        <v>0.80625</v>
      </c>
      <c r="F61" s="1">
        <v>429.0</v>
      </c>
      <c r="G61" s="1">
        <v>62.0</v>
      </c>
      <c r="H61" s="1">
        <v>259.0</v>
      </c>
    </row>
    <row r="62">
      <c r="A62" s="1" t="str">
        <f t="shared" si="1"/>
        <v>60259</v>
      </c>
      <c r="B62" s="1">
        <v>60.0</v>
      </c>
      <c r="C62" s="1" t="s">
        <v>445</v>
      </c>
      <c r="D62" s="1">
        <v>2.0</v>
      </c>
      <c r="E62" s="11">
        <v>0.0</v>
      </c>
      <c r="F62" s="1">
        <v>300.0</v>
      </c>
      <c r="G62" s="1">
        <v>150.0</v>
      </c>
      <c r="H62" s="1">
        <v>259.0</v>
      </c>
    </row>
    <row r="63">
      <c r="A63" s="1" t="str">
        <f t="shared" si="1"/>
        <v>61259</v>
      </c>
      <c r="B63" s="1">
        <v>61.0</v>
      </c>
      <c r="C63" s="1" t="s">
        <v>445</v>
      </c>
      <c r="D63" s="1">
        <v>2.0</v>
      </c>
      <c r="E63" s="11">
        <v>0.013888888888888888</v>
      </c>
      <c r="F63" s="1">
        <v>100.0</v>
      </c>
      <c r="G63" s="1">
        <v>206.0</v>
      </c>
      <c r="H63" s="1">
        <v>259.0</v>
      </c>
    </row>
    <row r="64">
      <c r="A64" s="1" t="str">
        <f t="shared" si="1"/>
        <v>62259</v>
      </c>
      <c r="B64" s="1">
        <v>62.0</v>
      </c>
      <c r="C64" s="1" t="s">
        <v>446</v>
      </c>
      <c r="D64" s="1">
        <v>2.0</v>
      </c>
      <c r="E64" s="11">
        <v>0.02361111111111111</v>
      </c>
      <c r="F64" s="1">
        <v>219.0</v>
      </c>
      <c r="G64" s="1">
        <v>238.0</v>
      </c>
      <c r="H64" s="1">
        <v>259.0</v>
      </c>
    </row>
    <row r="65">
      <c r="A65" s="1" t="str">
        <f t="shared" si="1"/>
        <v>63259</v>
      </c>
      <c r="B65" s="1">
        <v>63.0</v>
      </c>
      <c r="C65" s="1" t="s">
        <v>446</v>
      </c>
      <c r="D65" s="1">
        <v>2.0</v>
      </c>
      <c r="E65" s="11">
        <v>0.07916666666666666</v>
      </c>
      <c r="F65" s="1">
        <v>201.0</v>
      </c>
      <c r="G65" s="1">
        <v>234.0</v>
      </c>
      <c r="H65" s="1">
        <v>259.0</v>
      </c>
    </row>
    <row r="66">
      <c r="A66" s="1" t="str">
        <f t="shared" si="1"/>
        <v>64259</v>
      </c>
      <c r="B66" s="1">
        <v>64.0</v>
      </c>
      <c r="C66" s="1" t="s">
        <v>447</v>
      </c>
      <c r="D66" s="1">
        <v>2.0</v>
      </c>
      <c r="E66" s="11">
        <v>0.08263888888888889</v>
      </c>
      <c r="F66" s="1">
        <v>95.0</v>
      </c>
      <c r="G66" s="1">
        <v>138.0</v>
      </c>
      <c r="H66" s="1">
        <v>259.0</v>
      </c>
    </row>
    <row r="67">
      <c r="A67" s="1" t="str">
        <f t="shared" si="1"/>
        <v>65259</v>
      </c>
      <c r="B67" s="1">
        <v>65.0</v>
      </c>
      <c r="C67" s="1" t="s">
        <v>447</v>
      </c>
      <c r="D67" s="1">
        <v>2.0</v>
      </c>
      <c r="E67" s="11">
        <v>0.09583333333333334</v>
      </c>
      <c r="F67" s="1">
        <v>163.0</v>
      </c>
      <c r="G67" s="1">
        <v>83.0</v>
      </c>
      <c r="H67" s="1">
        <v>259.0</v>
      </c>
    </row>
    <row r="68">
      <c r="A68" s="1" t="str">
        <f t="shared" si="1"/>
        <v>66259</v>
      </c>
      <c r="B68" s="1">
        <v>66.0</v>
      </c>
      <c r="C68" s="1" t="s">
        <v>449</v>
      </c>
      <c r="D68" s="1">
        <v>2.0</v>
      </c>
      <c r="E68" s="11">
        <v>0.14305555555555555</v>
      </c>
      <c r="F68" s="1">
        <v>568.0</v>
      </c>
      <c r="G68" s="1">
        <v>87.0</v>
      </c>
      <c r="H68" s="1">
        <v>259.0</v>
      </c>
    </row>
    <row r="69">
      <c r="A69" s="1" t="str">
        <f t="shared" si="1"/>
        <v>67259</v>
      </c>
      <c r="B69" s="1">
        <v>67.0</v>
      </c>
      <c r="C69" s="1" t="s">
        <v>449</v>
      </c>
      <c r="D69" s="1">
        <v>2.0</v>
      </c>
      <c r="E69" s="11">
        <v>0.15069444444444444</v>
      </c>
      <c r="F69" s="1">
        <v>360.0</v>
      </c>
      <c r="G69" s="1">
        <v>147.0</v>
      </c>
      <c r="H69" s="1">
        <v>259.0</v>
      </c>
    </row>
    <row r="70">
      <c r="A70" s="1" t="str">
        <f t="shared" si="1"/>
        <v>68259</v>
      </c>
      <c r="B70" s="1">
        <v>68.0</v>
      </c>
      <c r="C70" s="1" t="s">
        <v>447</v>
      </c>
      <c r="D70" s="1">
        <v>2.0</v>
      </c>
      <c r="E70" s="11">
        <v>0.15347222222222223</v>
      </c>
      <c r="F70" s="1">
        <v>542.0</v>
      </c>
      <c r="G70" s="1">
        <v>140.0</v>
      </c>
      <c r="H70" s="1">
        <v>259.0</v>
      </c>
    </row>
    <row r="71">
      <c r="A71" s="1" t="str">
        <f t="shared" si="1"/>
        <v>69259</v>
      </c>
      <c r="B71" s="1">
        <v>69.0</v>
      </c>
      <c r="C71" s="1" t="s">
        <v>447</v>
      </c>
      <c r="D71" s="1">
        <v>2.0</v>
      </c>
      <c r="E71" s="11">
        <v>0.15694444444444444</v>
      </c>
      <c r="F71" s="1">
        <v>483.0</v>
      </c>
      <c r="G71" s="1">
        <v>153.0</v>
      </c>
      <c r="H71" s="1">
        <v>259.0</v>
      </c>
    </row>
    <row r="72">
      <c r="A72" s="1" t="str">
        <f t="shared" si="1"/>
        <v>70259</v>
      </c>
      <c r="B72" s="1">
        <v>70.0</v>
      </c>
      <c r="C72" s="1" t="s">
        <v>447</v>
      </c>
      <c r="D72" s="1">
        <v>2.0</v>
      </c>
      <c r="E72" s="11">
        <v>0.1597222222222222</v>
      </c>
      <c r="F72" s="1">
        <v>495.0</v>
      </c>
      <c r="G72" s="1">
        <v>103.0</v>
      </c>
      <c r="H72" s="1">
        <v>259.0</v>
      </c>
    </row>
    <row r="73">
      <c r="A73" s="1" t="str">
        <f t="shared" si="1"/>
        <v>71259</v>
      </c>
      <c r="B73" s="1">
        <v>71.0</v>
      </c>
      <c r="C73" s="1" t="s">
        <v>445</v>
      </c>
      <c r="D73" s="1">
        <v>2.0</v>
      </c>
      <c r="E73" s="11">
        <v>0.1625</v>
      </c>
      <c r="F73" s="1">
        <v>457.0</v>
      </c>
      <c r="G73" s="1">
        <v>49.0</v>
      </c>
      <c r="H73" s="1">
        <v>259.0</v>
      </c>
    </row>
    <row r="74">
      <c r="A74" s="1" t="str">
        <f t="shared" si="1"/>
        <v>72259</v>
      </c>
      <c r="B74" s="1">
        <v>72.0</v>
      </c>
      <c r="C74" s="1" t="s">
        <v>446</v>
      </c>
      <c r="D74" s="1">
        <v>2.0</v>
      </c>
      <c r="E74" s="11">
        <v>0.19722222222222222</v>
      </c>
      <c r="F74" s="1">
        <v>216.0</v>
      </c>
      <c r="G74" s="1">
        <v>111.0</v>
      </c>
      <c r="H74" s="1">
        <v>259.0</v>
      </c>
    </row>
    <row r="75">
      <c r="A75" s="1" t="str">
        <f t="shared" si="1"/>
        <v>73259</v>
      </c>
      <c r="B75" s="1">
        <v>73.0</v>
      </c>
      <c r="C75" s="1" t="s">
        <v>445</v>
      </c>
      <c r="D75" s="1">
        <v>2.0</v>
      </c>
      <c r="E75" s="11">
        <v>0.20833333333333334</v>
      </c>
      <c r="F75" s="1">
        <v>100.0</v>
      </c>
      <c r="G75" s="1">
        <v>206.0</v>
      </c>
      <c r="H75" s="1">
        <v>259.0</v>
      </c>
    </row>
    <row r="76">
      <c r="A76" s="1" t="str">
        <f t="shared" si="1"/>
        <v>74259</v>
      </c>
      <c r="B76" s="1">
        <v>74.0</v>
      </c>
      <c r="C76" s="1" t="s">
        <v>449</v>
      </c>
      <c r="D76" s="1">
        <v>2.0</v>
      </c>
      <c r="E76" s="11">
        <v>0.21736111111111112</v>
      </c>
      <c r="F76" s="1">
        <v>11.0</v>
      </c>
      <c r="G76" s="1">
        <v>204.0</v>
      </c>
      <c r="H76" s="1">
        <v>259.0</v>
      </c>
    </row>
    <row r="77">
      <c r="A77" s="1" t="str">
        <f t="shared" si="1"/>
        <v>75259</v>
      </c>
      <c r="B77" s="1">
        <v>75.0</v>
      </c>
      <c r="C77" s="1" t="s">
        <v>447</v>
      </c>
      <c r="D77" s="1">
        <v>2.0</v>
      </c>
      <c r="E77" s="11">
        <v>0.24097222222222223</v>
      </c>
      <c r="F77" s="1">
        <v>81.0</v>
      </c>
      <c r="G77" s="1">
        <v>67.0</v>
      </c>
      <c r="H77" s="1">
        <v>259.0</v>
      </c>
    </row>
    <row r="78">
      <c r="A78" s="1" t="str">
        <f t="shared" si="1"/>
        <v>76259</v>
      </c>
      <c r="B78" s="1">
        <v>76.0</v>
      </c>
      <c r="C78" s="1" t="s">
        <v>450</v>
      </c>
      <c r="D78" s="1">
        <v>2.0</v>
      </c>
      <c r="E78" s="11">
        <v>0.24097222222222223</v>
      </c>
      <c r="F78" s="1">
        <v>81.0</v>
      </c>
      <c r="G78" s="1">
        <v>67.0</v>
      </c>
      <c r="H78" s="1">
        <v>259.0</v>
      </c>
    </row>
    <row r="79">
      <c r="A79" s="1" t="str">
        <f t="shared" si="1"/>
        <v>77259</v>
      </c>
      <c r="B79" s="1">
        <v>77.0</v>
      </c>
      <c r="C79" s="1" t="s">
        <v>445</v>
      </c>
      <c r="D79" s="1">
        <v>2.0</v>
      </c>
      <c r="E79" s="11">
        <v>0.24097222222222223</v>
      </c>
      <c r="F79" s="1">
        <v>300.0</v>
      </c>
      <c r="G79" s="1">
        <v>150.0</v>
      </c>
      <c r="H79" s="1">
        <v>259.0</v>
      </c>
    </row>
    <row r="80">
      <c r="A80" s="1" t="str">
        <f t="shared" si="1"/>
        <v>78259</v>
      </c>
      <c r="B80" s="1">
        <v>78.0</v>
      </c>
      <c r="C80" s="1" t="s">
        <v>449</v>
      </c>
      <c r="D80" s="1">
        <v>2.0</v>
      </c>
      <c r="E80" s="11">
        <v>0.3</v>
      </c>
      <c r="F80" s="1">
        <v>1.0</v>
      </c>
      <c r="G80" s="1">
        <v>113.0</v>
      </c>
      <c r="H80" s="1">
        <v>259.0</v>
      </c>
    </row>
    <row r="81">
      <c r="A81" s="1" t="str">
        <f t="shared" si="1"/>
        <v>79259</v>
      </c>
      <c r="B81" s="1">
        <v>79.0</v>
      </c>
      <c r="C81" s="1" t="s">
        <v>449</v>
      </c>
      <c r="D81" s="1">
        <v>2.0</v>
      </c>
      <c r="E81" s="11">
        <v>0.3416666666666667</v>
      </c>
      <c r="F81" s="1">
        <v>134.0</v>
      </c>
      <c r="G81" s="1">
        <v>283.0</v>
      </c>
      <c r="H81" s="1">
        <v>259.0</v>
      </c>
    </row>
    <row r="82">
      <c r="A82" s="1" t="str">
        <f t="shared" si="1"/>
        <v>80259</v>
      </c>
      <c r="B82" s="1">
        <v>80.0</v>
      </c>
      <c r="C82" s="1" t="s">
        <v>449</v>
      </c>
      <c r="D82" s="1">
        <v>2.0</v>
      </c>
      <c r="E82" s="11">
        <v>0.3472222222222222</v>
      </c>
      <c r="F82" s="1">
        <v>87.0</v>
      </c>
      <c r="G82" s="1">
        <v>12.0</v>
      </c>
      <c r="H82" s="1">
        <v>259.0</v>
      </c>
    </row>
    <row r="83">
      <c r="A83" s="1" t="str">
        <f t="shared" si="1"/>
        <v>81259</v>
      </c>
      <c r="B83" s="1">
        <v>81.0</v>
      </c>
      <c r="C83" s="1" t="s">
        <v>446</v>
      </c>
      <c r="D83" s="1">
        <v>2.0</v>
      </c>
      <c r="E83" s="11">
        <v>0.3645833333333333</v>
      </c>
      <c r="F83" s="1">
        <v>53.0</v>
      </c>
      <c r="G83" s="1">
        <v>105.0</v>
      </c>
      <c r="H83" s="1">
        <v>259.0</v>
      </c>
    </row>
    <row r="84">
      <c r="A84" s="1" t="str">
        <f t="shared" si="1"/>
        <v>82259</v>
      </c>
      <c r="B84" s="1">
        <v>82.0</v>
      </c>
      <c r="C84" s="1" t="s">
        <v>446</v>
      </c>
      <c r="D84" s="1">
        <v>2.0</v>
      </c>
      <c r="E84" s="11">
        <v>0.3701388888888889</v>
      </c>
      <c r="F84" s="1">
        <v>104.0</v>
      </c>
      <c r="G84" s="1">
        <v>183.0</v>
      </c>
      <c r="H84" s="1">
        <v>259.0</v>
      </c>
    </row>
    <row r="85">
      <c r="A85" s="1" t="str">
        <f t="shared" si="1"/>
        <v>83259</v>
      </c>
      <c r="B85" s="1">
        <v>83.0</v>
      </c>
      <c r="C85" s="1" t="s">
        <v>447</v>
      </c>
      <c r="D85" s="1">
        <v>2.0</v>
      </c>
      <c r="E85" s="11">
        <v>0.3798611111111111</v>
      </c>
      <c r="F85" s="1">
        <v>183.0</v>
      </c>
      <c r="G85" s="1">
        <v>255.0</v>
      </c>
      <c r="H85" s="1">
        <v>259.0</v>
      </c>
    </row>
    <row r="86">
      <c r="A86" s="1" t="str">
        <f t="shared" si="1"/>
        <v>84259</v>
      </c>
      <c r="B86" s="1">
        <v>84.0</v>
      </c>
      <c r="C86" s="1" t="s">
        <v>445</v>
      </c>
      <c r="D86" s="1">
        <v>2.0</v>
      </c>
      <c r="E86" s="11">
        <v>0.3993055555555556</v>
      </c>
      <c r="F86" s="1">
        <v>100.0</v>
      </c>
      <c r="G86" s="1">
        <v>49.0</v>
      </c>
      <c r="H86" s="1">
        <v>259.0</v>
      </c>
    </row>
    <row r="87">
      <c r="A87" s="1" t="str">
        <f t="shared" si="1"/>
        <v>85259</v>
      </c>
      <c r="B87" s="1">
        <v>85.0</v>
      </c>
      <c r="C87" s="1" t="s">
        <v>449</v>
      </c>
      <c r="D87" s="1">
        <v>2.0</v>
      </c>
      <c r="E87" s="11">
        <v>0.41458333333333336</v>
      </c>
      <c r="F87" s="1">
        <v>5.0</v>
      </c>
      <c r="G87" s="1">
        <v>59.0</v>
      </c>
      <c r="H87" s="1">
        <v>259.0</v>
      </c>
    </row>
    <row r="88">
      <c r="A88" s="1" t="str">
        <f t="shared" si="1"/>
        <v>86259</v>
      </c>
      <c r="B88" s="1">
        <v>86.0</v>
      </c>
      <c r="C88" s="1" t="s">
        <v>445</v>
      </c>
      <c r="D88" s="1">
        <v>2.0</v>
      </c>
      <c r="E88" s="11">
        <v>0.41944444444444445</v>
      </c>
      <c r="F88" s="1">
        <v>100.0</v>
      </c>
      <c r="G88" s="1">
        <v>206.0</v>
      </c>
      <c r="H88" s="1">
        <v>259.0</v>
      </c>
    </row>
    <row r="89">
      <c r="A89" s="1" t="str">
        <f t="shared" si="1"/>
        <v>87259</v>
      </c>
      <c r="B89" s="1">
        <v>87.0</v>
      </c>
      <c r="C89" s="1" t="s">
        <v>445</v>
      </c>
      <c r="D89" s="1">
        <v>2.0</v>
      </c>
      <c r="E89" s="11">
        <v>0.4270833333333333</v>
      </c>
      <c r="F89" s="1">
        <v>100.0</v>
      </c>
      <c r="G89" s="1">
        <v>206.0</v>
      </c>
      <c r="H89" s="1">
        <v>259.0</v>
      </c>
    </row>
    <row r="90">
      <c r="A90" s="1" t="str">
        <f t="shared" si="1"/>
        <v>88259</v>
      </c>
      <c r="B90" s="1">
        <v>88.0</v>
      </c>
      <c r="C90" s="1" t="s">
        <v>447</v>
      </c>
      <c r="D90" s="1">
        <v>2.0</v>
      </c>
      <c r="E90" s="11">
        <v>0.4708333333333333</v>
      </c>
      <c r="F90" s="1">
        <v>331.0</v>
      </c>
      <c r="G90" s="1">
        <v>285.0</v>
      </c>
      <c r="H90" s="1">
        <v>259.0</v>
      </c>
    </row>
    <row r="91">
      <c r="A91" s="1" t="str">
        <f t="shared" si="1"/>
        <v>89259</v>
      </c>
      <c r="B91" s="1">
        <v>89.0</v>
      </c>
      <c r="C91" s="1" t="s">
        <v>445</v>
      </c>
      <c r="D91" s="1">
        <v>2.0</v>
      </c>
      <c r="E91" s="11">
        <v>0.475</v>
      </c>
      <c r="F91" s="1">
        <v>457.0</v>
      </c>
      <c r="G91" s="1">
        <v>49.0</v>
      </c>
      <c r="H91" s="1">
        <v>259.0</v>
      </c>
    </row>
    <row r="92">
      <c r="A92" s="1" t="str">
        <f t="shared" si="1"/>
        <v>90259</v>
      </c>
      <c r="B92" s="1">
        <v>90.0</v>
      </c>
      <c r="C92" s="1" t="s">
        <v>447</v>
      </c>
      <c r="D92" s="1">
        <v>2.0</v>
      </c>
      <c r="E92" s="11">
        <v>0.4875</v>
      </c>
      <c r="F92" s="1">
        <v>184.0</v>
      </c>
      <c r="G92" s="1">
        <v>262.0</v>
      </c>
      <c r="H92" s="1">
        <v>259.0</v>
      </c>
    </row>
    <row r="93">
      <c r="A93" s="1" t="str">
        <f t="shared" si="1"/>
        <v>91259</v>
      </c>
      <c r="B93" s="1">
        <v>91.0</v>
      </c>
      <c r="C93" s="1" t="s">
        <v>445</v>
      </c>
      <c r="D93" s="1">
        <v>2.0</v>
      </c>
      <c r="E93" s="11">
        <v>0.48819444444444443</v>
      </c>
      <c r="F93" s="1">
        <v>100.0</v>
      </c>
      <c r="G93" s="1">
        <v>206.0</v>
      </c>
      <c r="H93" s="1">
        <v>259.0</v>
      </c>
    </row>
    <row r="94">
      <c r="A94" s="1" t="str">
        <f t="shared" si="1"/>
        <v>92259</v>
      </c>
      <c r="B94" s="1">
        <v>92.0</v>
      </c>
      <c r="C94" s="1" t="s">
        <v>446</v>
      </c>
      <c r="D94" s="1">
        <v>2.0</v>
      </c>
      <c r="E94" s="11">
        <v>0.5069444444444444</v>
      </c>
      <c r="F94" s="1">
        <v>213.0</v>
      </c>
      <c r="G94" s="1">
        <v>270.0</v>
      </c>
      <c r="H94" s="1">
        <v>259.0</v>
      </c>
    </row>
    <row r="95">
      <c r="A95" s="1" t="str">
        <f t="shared" si="1"/>
        <v>93259</v>
      </c>
      <c r="B95" s="1">
        <v>93.0</v>
      </c>
      <c r="C95" s="1" t="s">
        <v>449</v>
      </c>
      <c r="D95" s="1">
        <v>2.0</v>
      </c>
      <c r="E95" s="11">
        <v>0.5194444444444445</v>
      </c>
      <c r="F95" s="1">
        <v>39.0</v>
      </c>
      <c r="G95" s="1">
        <v>26.0</v>
      </c>
      <c r="H95" s="1">
        <v>259.0</v>
      </c>
    </row>
    <row r="96">
      <c r="A96" s="1" t="str">
        <f t="shared" si="1"/>
        <v>94259</v>
      </c>
      <c r="B96" s="1">
        <v>94.0</v>
      </c>
      <c r="C96" s="1" t="s">
        <v>445</v>
      </c>
      <c r="D96" s="1">
        <v>2.0</v>
      </c>
      <c r="E96" s="11">
        <v>0.5298611111111111</v>
      </c>
      <c r="F96" s="1">
        <v>203.0</v>
      </c>
      <c r="G96" s="1">
        <v>27.0</v>
      </c>
      <c r="H96" s="1">
        <v>259.0</v>
      </c>
    </row>
    <row r="97">
      <c r="A97" s="1" t="str">
        <f t="shared" si="1"/>
        <v>95259</v>
      </c>
      <c r="B97" s="1">
        <v>95.0</v>
      </c>
      <c r="C97" s="1" t="s">
        <v>446</v>
      </c>
      <c r="D97" s="1">
        <v>2.0</v>
      </c>
      <c r="E97" s="11">
        <v>0.5576388888888889</v>
      </c>
      <c r="F97" s="1">
        <v>419.0</v>
      </c>
      <c r="G97" s="1">
        <v>264.0</v>
      </c>
      <c r="H97" s="1">
        <v>259.0</v>
      </c>
    </row>
    <row r="98">
      <c r="A98" s="1" t="str">
        <f t="shared" si="1"/>
        <v>96259</v>
      </c>
      <c r="B98" s="1">
        <v>96.0</v>
      </c>
      <c r="C98" s="1" t="s">
        <v>447</v>
      </c>
      <c r="D98" s="1">
        <v>2.0</v>
      </c>
      <c r="E98" s="11">
        <v>0.5923611111111111</v>
      </c>
      <c r="F98" s="1">
        <v>35.0</v>
      </c>
      <c r="G98" s="1">
        <v>221.0</v>
      </c>
      <c r="H98" s="1">
        <v>259.0</v>
      </c>
    </row>
    <row r="99">
      <c r="A99" s="1" t="str">
        <f t="shared" si="1"/>
        <v>97259</v>
      </c>
      <c r="B99" s="1">
        <v>97.0</v>
      </c>
      <c r="C99" s="1" t="s">
        <v>448</v>
      </c>
      <c r="D99" s="1">
        <v>2.0</v>
      </c>
      <c r="E99" s="11">
        <v>0.6194444444444445</v>
      </c>
      <c r="F99" s="1"/>
      <c r="G99" s="1"/>
      <c r="H99" s="1">
        <v>259.0</v>
      </c>
    </row>
    <row r="100">
      <c r="A100" s="1" t="str">
        <f t="shared" si="1"/>
        <v>98259</v>
      </c>
      <c r="B100" s="1">
        <v>98.0</v>
      </c>
      <c r="C100" s="1" t="s">
        <v>445</v>
      </c>
      <c r="D100" s="1">
        <v>2.0</v>
      </c>
      <c r="E100" s="11">
        <v>0.6194444444444445</v>
      </c>
      <c r="F100" s="1">
        <v>100.0</v>
      </c>
      <c r="G100" s="1">
        <v>206.0</v>
      </c>
      <c r="H100" s="1">
        <v>259.0</v>
      </c>
    </row>
    <row r="101">
      <c r="A101" s="1" t="str">
        <f t="shared" si="1"/>
        <v>99259</v>
      </c>
      <c r="B101" s="1">
        <v>99.0</v>
      </c>
      <c r="C101" s="1" t="s">
        <v>446</v>
      </c>
      <c r="D101" s="1">
        <v>2.0</v>
      </c>
      <c r="E101" s="11">
        <v>0.6840277777777778</v>
      </c>
      <c r="F101" s="1">
        <v>126.0</v>
      </c>
      <c r="G101" s="1">
        <v>217.0</v>
      </c>
      <c r="H101" s="1">
        <v>259.0</v>
      </c>
    </row>
    <row r="102">
      <c r="A102" s="1" t="str">
        <f t="shared" si="1"/>
        <v>100259</v>
      </c>
      <c r="B102" s="1">
        <v>100.0</v>
      </c>
      <c r="C102" s="1" t="s">
        <v>446</v>
      </c>
      <c r="D102" s="1">
        <v>2.0</v>
      </c>
      <c r="E102" s="11">
        <v>0.6895833333333333</v>
      </c>
      <c r="F102" s="1">
        <v>142.0</v>
      </c>
      <c r="G102" s="1">
        <v>91.0</v>
      </c>
      <c r="H102" s="1">
        <v>259.0</v>
      </c>
    </row>
    <row r="103">
      <c r="A103" s="1" t="str">
        <f t="shared" si="1"/>
        <v>101259</v>
      </c>
      <c r="B103" s="1">
        <v>101.0</v>
      </c>
      <c r="C103" s="1" t="s">
        <v>447</v>
      </c>
      <c r="D103" s="1">
        <v>2.0</v>
      </c>
      <c r="E103" s="11">
        <v>0.7125</v>
      </c>
      <c r="F103" s="1">
        <v>466.0</v>
      </c>
      <c r="G103" s="1">
        <v>254.0</v>
      </c>
      <c r="H103" s="1">
        <v>259.0</v>
      </c>
    </row>
    <row r="104">
      <c r="A104" s="1" t="str">
        <f t="shared" si="1"/>
        <v>102259</v>
      </c>
      <c r="B104" s="1">
        <v>102.0</v>
      </c>
      <c r="C104" s="1" t="s">
        <v>446</v>
      </c>
      <c r="D104" s="1">
        <v>2.0</v>
      </c>
      <c r="E104" s="11">
        <v>0.725</v>
      </c>
      <c r="F104" s="1">
        <v>201.0</v>
      </c>
      <c r="G104" s="1">
        <v>87.0</v>
      </c>
      <c r="H104" s="1">
        <v>259.0</v>
      </c>
    </row>
    <row r="105">
      <c r="A105" s="1" t="str">
        <f t="shared" si="1"/>
        <v>103259</v>
      </c>
      <c r="B105" s="1">
        <v>103.0</v>
      </c>
      <c r="C105" s="1" t="s">
        <v>446</v>
      </c>
      <c r="D105" s="1">
        <v>2.0</v>
      </c>
      <c r="E105" s="11">
        <v>0.7298611111111111</v>
      </c>
      <c r="F105" s="1">
        <v>165.0</v>
      </c>
      <c r="G105" s="1">
        <v>131.0</v>
      </c>
      <c r="H105" s="1">
        <v>259.0</v>
      </c>
    </row>
    <row r="106">
      <c r="A106" s="1" t="str">
        <f t="shared" si="1"/>
        <v>104259</v>
      </c>
      <c r="B106" s="1">
        <v>104.0</v>
      </c>
      <c r="C106" s="1" t="s">
        <v>445</v>
      </c>
      <c r="D106" s="1">
        <v>2.0</v>
      </c>
      <c r="E106" s="11">
        <v>0.7486111111111111</v>
      </c>
      <c r="F106" s="1">
        <v>457.0</v>
      </c>
      <c r="G106" s="1">
        <v>49.0</v>
      </c>
      <c r="H106" s="1">
        <v>259.0</v>
      </c>
    </row>
    <row r="107">
      <c r="A107" s="1" t="str">
        <f t="shared" si="1"/>
        <v>105259</v>
      </c>
      <c r="B107" s="1">
        <v>105.0</v>
      </c>
      <c r="C107" s="1" t="s">
        <v>446</v>
      </c>
      <c r="D107" s="1">
        <v>2.0</v>
      </c>
      <c r="E107" s="11">
        <v>0.7916666666666666</v>
      </c>
      <c r="F107" s="1">
        <v>396.0</v>
      </c>
      <c r="G107" s="1">
        <v>66.0</v>
      </c>
      <c r="H107" s="1">
        <v>259.0</v>
      </c>
    </row>
    <row r="108">
      <c r="A108" s="1" t="str">
        <f t="shared" si="1"/>
        <v>106259</v>
      </c>
      <c r="B108" s="1">
        <v>106.0</v>
      </c>
      <c r="C108" s="1" t="s">
        <v>447</v>
      </c>
      <c r="D108" s="1">
        <v>2.0</v>
      </c>
      <c r="E108" s="11">
        <v>0.7951388888888888</v>
      </c>
      <c r="F108" s="1">
        <v>544.0</v>
      </c>
      <c r="G108" s="1">
        <v>179.0</v>
      </c>
      <c r="H108" s="1">
        <v>259.0</v>
      </c>
    </row>
    <row r="109">
      <c r="A109" s="1" t="str">
        <f t="shared" si="1"/>
        <v>107259</v>
      </c>
      <c r="B109" s="1">
        <v>107.0</v>
      </c>
      <c r="C109" s="1" t="s">
        <v>446</v>
      </c>
      <c r="D109" s="1">
        <v>2.0</v>
      </c>
      <c r="E109" s="11">
        <v>0.8090277777777778</v>
      </c>
      <c r="F109" s="1">
        <v>195.0</v>
      </c>
      <c r="G109" s="1">
        <v>116.0</v>
      </c>
      <c r="H109" s="1">
        <v>259.0</v>
      </c>
    </row>
    <row r="110">
      <c r="A110" s="1" t="str">
        <f t="shared" si="1"/>
        <v>108259</v>
      </c>
      <c r="B110" s="1">
        <v>108.0</v>
      </c>
      <c r="C110" s="1" t="s">
        <v>447</v>
      </c>
      <c r="D110" s="1">
        <v>2.0</v>
      </c>
      <c r="E110" s="11">
        <v>0.8104166666666667</v>
      </c>
      <c r="F110" s="1">
        <v>128.0</v>
      </c>
      <c r="G110" s="1">
        <v>234.0</v>
      </c>
      <c r="H110" s="1">
        <v>259.0</v>
      </c>
    </row>
    <row r="111">
      <c r="A111" s="1" t="str">
        <f t="shared" si="1"/>
        <v>109259</v>
      </c>
      <c r="B111" s="1">
        <v>109.0</v>
      </c>
      <c r="C111" s="1" t="s">
        <v>445</v>
      </c>
      <c r="D111" s="1">
        <v>2.0</v>
      </c>
      <c r="E111" s="11">
        <v>0.8125</v>
      </c>
      <c r="F111" s="1">
        <v>100.0</v>
      </c>
      <c r="G111" s="1">
        <v>206.0</v>
      </c>
      <c r="H111" s="1">
        <v>259.0</v>
      </c>
    </row>
    <row r="112">
      <c r="A112" s="1" t="str">
        <f t="shared" si="1"/>
        <v>110259</v>
      </c>
      <c r="B112" s="1">
        <v>110.0</v>
      </c>
      <c r="C112" s="1" t="s">
        <v>446</v>
      </c>
      <c r="D112" s="1">
        <v>2.0</v>
      </c>
      <c r="E112" s="11">
        <v>0.8194444444444444</v>
      </c>
      <c r="F112" s="1">
        <v>61.0</v>
      </c>
      <c r="G112" s="1">
        <v>127.0</v>
      </c>
      <c r="H112" s="1">
        <v>259.0</v>
      </c>
    </row>
    <row r="113">
      <c r="A113" s="1" t="str">
        <f t="shared" si="1"/>
        <v>111259</v>
      </c>
      <c r="B113" s="1">
        <v>111.0</v>
      </c>
      <c r="C113" s="1" t="s">
        <v>445</v>
      </c>
      <c r="D113" s="1">
        <v>3.0</v>
      </c>
      <c r="E113" s="11">
        <v>0.0</v>
      </c>
      <c r="F113" s="1">
        <v>300.0</v>
      </c>
      <c r="G113" s="1">
        <v>150.0</v>
      </c>
      <c r="H113" s="1">
        <v>259.0</v>
      </c>
    </row>
    <row r="114">
      <c r="A114" s="1" t="str">
        <f t="shared" si="1"/>
        <v>112259</v>
      </c>
      <c r="B114" s="1">
        <v>112.0</v>
      </c>
      <c r="C114" s="1" t="s">
        <v>447</v>
      </c>
      <c r="D114" s="1">
        <v>3.0</v>
      </c>
      <c r="E114" s="11">
        <v>0.013888888888888888</v>
      </c>
      <c r="F114" s="1">
        <v>87.0</v>
      </c>
      <c r="G114" s="1">
        <v>174.0</v>
      </c>
      <c r="H114" s="1">
        <v>259.0</v>
      </c>
    </row>
    <row r="115">
      <c r="A115" s="1" t="str">
        <f t="shared" si="1"/>
        <v>113259</v>
      </c>
      <c r="B115" s="1">
        <v>113.0</v>
      </c>
      <c r="C115" s="1" t="s">
        <v>449</v>
      </c>
      <c r="D115" s="1">
        <v>3.0</v>
      </c>
      <c r="E115" s="11">
        <v>0.019444444444444445</v>
      </c>
      <c r="F115" s="1">
        <v>170.0</v>
      </c>
      <c r="G115" s="1">
        <v>5.0</v>
      </c>
      <c r="H115" s="1">
        <v>259.0</v>
      </c>
    </row>
    <row r="116">
      <c r="A116" s="1" t="str">
        <f t="shared" si="1"/>
        <v>114259</v>
      </c>
      <c r="B116" s="1">
        <v>114.0</v>
      </c>
      <c r="C116" s="1" t="s">
        <v>449</v>
      </c>
      <c r="D116" s="1">
        <v>3.0</v>
      </c>
      <c r="E116" s="11">
        <v>0.027777777777777776</v>
      </c>
      <c r="F116" s="1">
        <v>169.0</v>
      </c>
      <c r="G116" s="1">
        <v>4.0</v>
      </c>
      <c r="H116" s="1">
        <v>259.0</v>
      </c>
    </row>
    <row r="117">
      <c r="A117" s="1" t="str">
        <f t="shared" si="1"/>
        <v>115259</v>
      </c>
      <c r="B117" s="1">
        <v>115.0</v>
      </c>
      <c r="C117" s="1" t="s">
        <v>446</v>
      </c>
      <c r="D117" s="1">
        <v>3.0</v>
      </c>
      <c r="E117" s="11">
        <v>0.05347222222222222</v>
      </c>
      <c r="F117" s="1">
        <v>443.0</v>
      </c>
      <c r="G117" s="1">
        <v>46.0</v>
      </c>
      <c r="H117" s="1">
        <v>259.0</v>
      </c>
    </row>
    <row r="118">
      <c r="A118" s="1" t="str">
        <f t="shared" si="1"/>
        <v>116259</v>
      </c>
      <c r="B118" s="1">
        <v>116.0</v>
      </c>
      <c r="C118" s="1" t="s">
        <v>445</v>
      </c>
      <c r="D118" s="1">
        <v>3.0</v>
      </c>
      <c r="E118" s="11">
        <v>0.059722222222222225</v>
      </c>
      <c r="F118" s="1">
        <v>500.0</v>
      </c>
      <c r="G118" s="1">
        <v>94.0</v>
      </c>
      <c r="H118" s="1">
        <v>259.0</v>
      </c>
    </row>
    <row r="119">
      <c r="A119" s="1" t="str">
        <f t="shared" si="1"/>
        <v>117259</v>
      </c>
      <c r="B119" s="1">
        <v>117.0</v>
      </c>
      <c r="C119" s="1" t="s">
        <v>447</v>
      </c>
      <c r="D119" s="1">
        <v>3.0</v>
      </c>
      <c r="E119" s="11">
        <v>0.07569444444444444</v>
      </c>
      <c r="F119" s="1">
        <v>220.0</v>
      </c>
      <c r="G119" s="1">
        <v>123.0</v>
      </c>
      <c r="H119" s="1">
        <v>259.0</v>
      </c>
    </row>
    <row r="120">
      <c r="A120" s="1" t="str">
        <f t="shared" si="1"/>
        <v>118259</v>
      </c>
      <c r="B120" s="1">
        <v>118.0</v>
      </c>
      <c r="C120" s="1" t="s">
        <v>449</v>
      </c>
      <c r="D120" s="1">
        <v>3.0</v>
      </c>
      <c r="E120" s="11">
        <v>0.09583333333333334</v>
      </c>
      <c r="F120" s="1">
        <v>248.0</v>
      </c>
      <c r="G120" s="1">
        <v>294.0</v>
      </c>
      <c r="H120" s="1">
        <v>259.0</v>
      </c>
    </row>
    <row r="121">
      <c r="A121" s="1" t="str">
        <f t="shared" si="1"/>
        <v>119259</v>
      </c>
      <c r="B121" s="1">
        <v>119.0</v>
      </c>
      <c r="C121" s="1" t="s">
        <v>446</v>
      </c>
      <c r="D121" s="1">
        <v>3.0</v>
      </c>
      <c r="E121" s="11">
        <v>0.10208333333333333</v>
      </c>
      <c r="F121" s="1">
        <v>200.0</v>
      </c>
      <c r="G121" s="1">
        <v>225.0</v>
      </c>
      <c r="H121" s="1">
        <v>259.0</v>
      </c>
    </row>
    <row r="122">
      <c r="A122" s="1" t="str">
        <f t="shared" si="1"/>
        <v>120259</v>
      </c>
      <c r="B122" s="1">
        <v>120.0</v>
      </c>
      <c r="C122" s="1" t="s">
        <v>445</v>
      </c>
      <c r="D122" s="1">
        <v>3.0</v>
      </c>
      <c r="E122" s="11">
        <v>0.10486111111111111</v>
      </c>
      <c r="F122" s="1">
        <v>300.0</v>
      </c>
      <c r="G122" s="1">
        <v>150.0</v>
      </c>
      <c r="H122" s="1">
        <v>259.0</v>
      </c>
    </row>
    <row r="123">
      <c r="A123" s="1" t="str">
        <f t="shared" si="1"/>
        <v>121259</v>
      </c>
      <c r="B123" s="1">
        <v>121.0</v>
      </c>
      <c r="C123" s="1" t="s">
        <v>447</v>
      </c>
      <c r="D123" s="1">
        <v>3.0</v>
      </c>
      <c r="E123" s="11">
        <v>0.13333333333333333</v>
      </c>
      <c r="F123" s="1">
        <v>197.0</v>
      </c>
      <c r="G123" s="1">
        <v>137.0</v>
      </c>
      <c r="H123" s="1">
        <v>259.0</v>
      </c>
    </row>
    <row r="124">
      <c r="A124" s="1" t="str">
        <f t="shared" si="1"/>
        <v>122259</v>
      </c>
      <c r="B124" s="1">
        <v>122.0</v>
      </c>
      <c r="C124" s="1" t="s">
        <v>445</v>
      </c>
      <c r="D124" s="1">
        <v>3.0</v>
      </c>
      <c r="E124" s="11">
        <v>0.15833333333333333</v>
      </c>
      <c r="F124" s="1">
        <v>500.0</v>
      </c>
      <c r="G124" s="1">
        <v>94.0</v>
      </c>
      <c r="H124" s="1">
        <v>259.0</v>
      </c>
    </row>
    <row r="125">
      <c r="A125" s="1" t="str">
        <f t="shared" si="1"/>
        <v>123259</v>
      </c>
      <c r="B125" s="1">
        <v>123.0</v>
      </c>
      <c r="C125" s="1" t="s">
        <v>447</v>
      </c>
      <c r="D125" s="1">
        <v>3.0</v>
      </c>
      <c r="E125" s="11">
        <v>0.17083333333333334</v>
      </c>
      <c r="F125" s="1">
        <v>475.0</v>
      </c>
      <c r="G125" s="1">
        <v>225.0</v>
      </c>
      <c r="H125" s="1">
        <v>259.0</v>
      </c>
    </row>
    <row r="126">
      <c r="A126" s="1" t="str">
        <f t="shared" si="1"/>
        <v>124259</v>
      </c>
      <c r="B126" s="1">
        <v>124.0</v>
      </c>
      <c r="C126" s="1" t="s">
        <v>445</v>
      </c>
      <c r="D126" s="1">
        <v>3.0</v>
      </c>
      <c r="E126" s="11">
        <v>0.17152777777777778</v>
      </c>
      <c r="F126" s="1">
        <v>500.0</v>
      </c>
      <c r="G126" s="1">
        <v>251.0</v>
      </c>
      <c r="H126" s="1">
        <v>259.0</v>
      </c>
    </row>
    <row r="127">
      <c r="A127" s="1" t="str">
        <f t="shared" si="1"/>
        <v>125259</v>
      </c>
      <c r="B127" s="1">
        <v>125.0</v>
      </c>
      <c r="C127" s="1" t="s">
        <v>446</v>
      </c>
      <c r="D127" s="1">
        <v>3.0</v>
      </c>
      <c r="E127" s="11">
        <v>0.17916666666666667</v>
      </c>
      <c r="F127" s="1">
        <v>497.0</v>
      </c>
      <c r="G127" s="1">
        <v>133.0</v>
      </c>
      <c r="H127" s="1">
        <v>259.0</v>
      </c>
    </row>
    <row r="128">
      <c r="A128" s="1" t="str">
        <f t="shared" si="1"/>
        <v>126259</v>
      </c>
      <c r="B128" s="1">
        <v>126.0</v>
      </c>
      <c r="C128" s="1" t="s">
        <v>449</v>
      </c>
      <c r="D128" s="1">
        <v>3.0</v>
      </c>
      <c r="E128" s="11">
        <v>0.19166666666666668</v>
      </c>
      <c r="F128" s="1">
        <v>568.0</v>
      </c>
      <c r="G128" s="1">
        <v>249.0</v>
      </c>
      <c r="H128" s="1">
        <v>259.0</v>
      </c>
    </row>
    <row r="129">
      <c r="A129" s="1" t="str">
        <f t="shared" si="1"/>
        <v>127259</v>
      </c>
      <c r="B129" s="1">
        <v>127.0</v>
      </c>
      <c r="C129" s="1" t="s">
        <v>449</v>
      </c>
      <c r="D129" s="1">
        <v>3.0</v>
      </c>
      <c r="E129" s="11">
        <v>0.20555555555555555</v>
      </c>
      <c r="F129" s="1">
        <v>153.0</v>
      </c>
      <c r="G129" s="1">
        <v>9.0</v>
      </c>
      <c r="H129" s="1">
        <v>259.0</v>
      </c>
    </row>
    <row r="130">
      <c r="A130" s="1" t="str">
        <f t="shared" si="1"/>
        <v>128259</v>
      </c>
      <c r="B130" s="1">
        <v>128.0</v>
      </c>
      <c r="C130" s="1" t="s">
        <v>447</v>
      </c>
      <c r="D130" s="1">
        <v>3.0</v>
      </c>
      <c r="E130" s="11">
        <v>0.20694444444444443</v>
      </c>
      <c r="F130" s="1">
        <v>436.0</v>
      </c>
      <c r="G130" s="1">
        <v>135.0</v>
      </c>
      <c r="H130" s="1">
        <v>259.0</v>
      </c>
    </row>
    <row r="131">
      <c r="A131" s="1" t="str">
        <f t="shared" si="1"/>
        <v>129259</v>
      </c>
      <c r="B131" s="1">
        <v>129.0</v>
      </c>
      <c r="C131" s="1" t="s">
        <v>445</v>
      </c>
      <c r="D131" s="1">
        <v>3.0</v>
      </c>
      <c r="E131" s="11">
        <v>0.2076388888888889</v>
      </c>
      <c r="F131" s="1">
        <v>500.0</v>
      </c>
      <c r="G131" s="1">
        <v>251.0</v>
      </c>
      <c r="H131" s="1">
        <v>259.0</v>
      </c>
    </row>
    <row r="132">
      <c r="A132" s="1" t="str">
        <f t="shared" si="1"/>
        <v>130259</v>
      </c>
      <c r="B132" s="1">
        <v>130.0</v>
      </c>
      <c r="C132" s="1" t="s">
        <v>447</v>
      </c>
      <c r="D132" s="1">
        <v>3.0</v>
      </c>
      <c r="E132" s="11">
        <v>0.22291666666666668</v>
      </c>
      <c r="F132" s="1">
        <v>61.0</v>
      </c>
      <c r="G132" s="1">
        <v>248.0</v>
      </c>
      <c r="H132" s="1">
        <v>259.0</v>
      </c>
    </row>
    <row r="133">
      <c r="A133" s="1" t="str">
        <f t="shared" si="1"/>
        <v>131259</v>
      </c>
      <c r="B133" s="1">
        <v>131.0</v>
      </c>
      <c r="C133" s="1" t="s">
        <v>445</v>
      </c>
      <c r="D133" s="1">
        <v>3.0</v>
      </c>
      <c r="E133" s="11">
        <v>0.22430555555555556</v>
      </c>
      <c r="F133" s="1">
        <v>143.0</v>
      </c>
      <c r="G133" s="1">
        <v>251.0</v>
      </c>
      <c r="H133" s="1">
        <v>259.0</v>
      </c>
    </row>
    <row r="134">
      <c r="A134" s="1" t="str">
        <f t="shared" si="1"/>
        <v>132259</v>
      </c>
      <c r="B134" s="1">
        <v>132.0</v>
      </c>
      <c r="C134" s="1" t="s">
        <v>447</v>
      </c>
      <c r="D134" s="1">
        <v>3.0</v>
      </c>
      <c r="E134" s="11">
        <v>0.2423611111111111</v>
      </c>
      <c r="F134" s="1">
        <v>165.0</v>
      </c>
      <c r="G134" s="1">
        <v>110.0</v>
      </c>
      <c r="H134" s="1">
        <v>259.0</v>
      </c>
    </row>
    <row r="135">
      <c r="A135" s="1" t="str">
        <f t="shared" si="1"/>
        <v>133259</v>
      </c>
      <c r="B135" s="1">
        <v>133.0</v>
      </c>
      <c r="C135" s="1" t="s">
        <v>445</v>
      </c>
      <c r="D135" s="1">
        <v>3.0</v>
      </c>
      <c r="E135" s="11">
        <v>0.24305555555555555</v>
      </c>
      <c r="F135" s="1">
        <v>143.0</v>
      </c>
      <c r="G135" s="1">
        <v>251.0</v>
      </c>
      <c r="H135" s="1">
        <v>259.0</v>
      </c>
    </row>
    <row r="136">
      <c r="A136" s="1" t="str">
        <f t="shared" si="1"/>
        <v>134259</v>
      </c>
      <c r="B136" s="1">
        <v>134.0</v>
      </c>
      <c r="C136" s="1" t="s">
        <v>446</v>
      </c>
      <c r="D136" s="1">
        <v>3.0</v>
      </c>
      <c r="E136" s="11">
        <v>0.24861111111111112</v>
      </c>
      <c r="F136" s="1">
        <v>90.0</v>
      </c>
      <c r="G136" s="1">
        <v>123.0</v>
      </c>
      <c r="H136" s="1">
        <v>259.0</v>
      </c>
    </row>
    <row r="137">
      <c r="A137" s="1" t="str">
        <f t="shared" si="1"/>
        <v>135259</v>
      </c>
      <c r="B137" s="1">
        <v>135.0</v>
      </c>
      <c r="C137" s="1" t="s">
        <v>446</v>
      </c>
      <c r="D137" s="1">
        <v>3.0</v>
      </c>
      <c r="E137" s="11">
        <v>0.2548611111111111</v>
      </c>
      <c r="F137" s="1">
        <v>468.0</v>
      </c>
      <c r="G137" s="1">
        <v>185.0</v>
      </c>
      <c r="H137" s="1">
        <v>259.0</v>
      </c>
    </row>
    <row r="138">
      <c r="A138" s="1" t="str">
        <f t="shared" si="1"/>
        <v>136259</v>
      </c>
      <c r="B138" s="1">
        <v>136.0</v>
      </c>
      <c r="C138" s="1" t="s">
        <v>447</v>
      </c>
      <c r="D138" s="1">
        <v>3.0</v>
      </c>
      <c r="E138" s="11">
        <v>0.27361111111111114</v>
      </c>
      <c r="F138" s="1">
        <v>51.0</v>
      </c>
      <c r="G138" s="1">
        <v>123.0</v>
      </c>
      <c r="H138" s="1">
        <v>259.0</v>
      </c>
    </row>
    <row r="139">
      <c r="A139" s="1" t="str">
        <f t="shared" si="1"/>
        <v>137259</v>
      </c>
      <c r="B139" s="1">
        <v>137.0</v>
      </c>
      <c r="C139" s="1" t="s">
        <v>445</v>
      </c>
      <c r="D139" s="1">
        <v>3.0</v>
      </c>
      <c r="E139" s="11">
        <v>0.2791666666666667</v>
      </c>
      <c r="F139" s="1">
        <v>143.0</v>
      </c>
      <c r="G139" s="1">
        <v>251.0</v>
      </c>
      <c r="H139" s="1">
        <v>259.0</v>
      </c>
    </row>
    <row r="140">
      <c r="A140" s="1" t="str">
        <f t="shared" si="1"/>
        <v>138259</v>
      </c>
      <c r="B140" s="1">
        <v>138.0</v>
      </c>
      <c r="C140" s="1" t="s">
        <v>447</v>
      </c>
      <c r="D140" s="1">
        <v>3.0</v>
      </c>
      <c r="E140" s="11">
        <v>0.28125</v>
      </c>
      <c r="F140" s="1">
        <v>163.0</v>
      </c>
      <c r="G140" s="1">
        <v>172.0</v>
      </c>
      <c r="H140" s="1">
        <v>259.0</v>
      </c>
    </row>
    <row r="141">
      <c r="A141" s="1" t="str">
        <f t="shared" si="1"/>
        <v>139259</v>
      </c>
      <c r="B141" s="1">
        <v>139.0</v>
      </c>
      <c r="C141" s="1" t="s">
        <v>445</v>
      </c>
      <c r="D141" s="1">
        <v>3.0</v>
      </c>
      <c r="E141" s="11">
        <v>0.28194444444444444</v>
      </c>
      <c r="F141" s="1">
        <v>143.0</v>
      </c>
      <c r="G141" s="1">
        <v>251.0</v>
      </c>
      <c r="H141" s="1">
        <v>259.0</v>
      </c>
    </row>
    <row r="142">
      <c r="A142" s="1" t="str">
        <f t="shared" si="1"/>
        <v>140259</v>
      </c>
      <c r="B142" s="1">
        <v>140.0</v>
      </c>
      <c r="C142" s="1" t="s">
        <v>446</v>
      </c>
      <c r="D142" s="1">
        <v>3.0</v>
      </c>
      <c r="E142" s="11">
        <v>0.2972222222222222</v>
      </c>
      <c r="F142" s="1">
        <v>131.0</v>
      </c>
      <c r="G142" s="1">
        <v>82.0</v>
      </c>
      <c r="H142" s="1">
        <v>259.0</v>
      </c>
    </row>
    <row r="143">
      <c r="A143" s="1" t="str">
        <f t="shared" si="1"/>
        <v>141259</v>
      </c>
      <c r="B143" s="1">
        <v>141.0</v>
      </c>
      <c r="C143" s="1" t="s">
        <v>447</v>
      </c>
      <c r="D143" s="1">
        <v>3.0</v>
      </c>
      <c r="E143" s="11">
        <v>0.29791666666666666</v>
      </c>
      <c r="F143" s="1">
        <v>169.0</v>
      </c>
      <c r="G143" s="1">
        <v>45.0</v>
      </c>
      <c r="H143" s="1">
        <v>259.0</v>
      </c>
    </row>
    <row r="144">
      <c r="A144" s="1" t="str">
        <f t="shared" si="1"/>
        <v>142259</v>
      </c>
      <c r="B144" s="1">
        <v>142.0</v>
      </c>
      <c r="C144" s="1" t="s">
        <v>447</v>
      </c>
      <c r="D144" s="1">
        <v>3.0</v>
      </c>
      <c r="E144" s="11">
        <v>0.33055555555555555</v>
      </c>
      <c r="F144" s="1">
        <v>91.0</v>
      </c>
      <c r="G144" s="1">
        <v>79.0</v>
      </c>
      <c r="H144" s="1">
        <v>259.0</v>
      </c>
    </row>
    <row r="145">
      <c r="A145" s="1" t="str">
        <f t="shared" si="1"/>
        <v>143259</v>
      </c>
      <c r="B145" s="1">
        <v>143.0</v>
      </c>
      <c r="C145" s="1" t="s">
        <v>447</v>
      </c>
      <c r="D145" s="1">
        <v>3.0</v>
      </c>
      <c r="E145" s="11">
        <v>0.33611111111111114</v>
      </c>
      <c r="F145" s="1">
        <v>176.0</v>
      </c>
      <c r="G145" s="1">
        <v>293.0</v>
      </c>
      <c r="H145" s="1">
        <v>259.0</v>
      </c>
    </row>
    <row r="146">
      <c r="A146" s="1" t="str">
        <f t="shared" si="1"/>
        <v>144259</v>
      </c>
      <c r="B146" s="1">
        <v>144.0</v>
      </c>
      <c r="C146" s="1" t="s">
        <v>445</v>
      </c>
      <c r="D146" s="1">
        <v>3.0</v>
      </c>
      <c r="E146" s="11">
        <v>0.34444444444444444</v>
      </c>
      <c r="F146" s="1">
        <v>300.0</v>
      </c>
      <c r="G146" s="1">
        <v>150.0</v>
      </c>
      <c r="H146" s="1">
        <v>259.0</v>
      </c>
    </row>
    <row r="147">
      <c r="A147" s="1" t="str">
        <f t="shared" si="1"/>
        <v>145259</v>
      </c>
      <c r="B147" s="1">
        <v>145.0</v>
      </c>
      <c r="C147" s="1" t="s">
        <v>447</v>
      </c>
      <c r="D147" s="1">
        <v>3.0</v>
      </c>
      <c r="E147" s="11">
        <v>0.3506944444444444</v>
      </c>
      <c r="F147" s="1">
        <v>79.0</v>
      </c>
      <c r="G147" s="1">
        <v>101.0</v>
      </c>
      <c r="H147" s="1">
        <v>259.0</v>
      </c>
    </row>
    <row r="148">
      <c r="A148" s="1" t="str">
        <f t="shared" si="1"/>
        <v>146259</v>
      </c>
      <c r="B148" s="1">
        <v>146.0</v>
      </c>
      <c r="C148" s="1" t="s">
        <v>446</v>
      </c>
      <c r="D148" s="1">
        <v>3.0</v>
      </c>
      <c r="E148" s="11">
        <v>0.38125</v>
      </c>
      <c r="F148" s="1">
        <v>448.0</v>
      </c>
      <c r="G148" s="1">
        <v>90.0</v>
      </c>
      <c r="H148" s="1">
        <v>259.0</v>
      </c>
    </row>
    <row r="149">
      <c r="A149" s="1" t="str">
        <f t="shared" si="1"/>
        <v>147259</v>
      </c>
      <c r="B149" s="1">
        <v>147.0</v>
      </c>
      <c r="C149" s="1" t="s">
        <v>449</v>
      </c>
      <c r="D149" s="1">
        <v>3.0</v>
      </c>
      <c r="E149" s="11">
        <v>0.38472222222222224</v>
      </c>
      <c r="F149" s="1">
        <v>457.0</v>
      </c>
      <c r="G149" s="1">
        <v>290.0</v>
      </c>
      <c r="H149" s="1">
        <v>259.0</v>
      </c>
    </row>
    <row r="150">
      <c r="A150" s="1" t="str">
        <f t="shared" si="1"/>
        <v>148259</v>
      </c>
      <c r="B150" s="1">
        <v>148.0</v>
      </c>
      <c r="C150" s="1" t="s">
        <v>446</v>
      </c>
      <c r="D150" s="1">
        <v>3.0</v>
      </c>
      <c r="E150" s="11">
        <v>0.41597222222222224</v>
      </c>
      <c r="F150" s="1">
        <v>75.0</v>
      </c>
      <c r="G150" s="1">
        <v>160.0</v>
      </c>
      <c r="H150" s="1">
        <v>259.0</v>
      </c>
    </row>
    <row r="151">
      <c r="A151" s="1" t="str">
        <f t="shared" si="1"/>
        <v>149259</v>
      </c>
      <c r="B151" s="1">
        <v>149.0</v>
      </c>
      <c r="C151" s="1" t="s">
        <v>446</v>
      </c>
      <c r="D151" s="1">
        <v>3.0</v>
      </c>
      <c r="E151" s="11">
        <v>0.4166666666666667</v>
      </c>
      <c r="F151" s="1">
        <v>66.0</v>
      </c>
      <c r="G151" s="1">
        <v>153.0</v>
      </c>
      <c r="H151" s="1">
        <v>259.0</v>
      </c>
    </row>
    <row r="152">
      <c r="A152" s="1" t="str">
        <f t="shared" si="1"/>
        <v>150259</v>
      </c>
      <c r="B152" s="1">
        <v>150.0</v>
      </c>
      <c r="C152" s="1" t="s">
        <v>446</v>
      </c>
      <c r="D152" s="1">
        <v>3.0</v>
      </c>
      <c r="E152" s="11">
        <v>0.4215277777777778</v>
      </c>
      <c r="F152" s="1">
        <v>195.0</v>
      </c>
      <c r="G152" s="1">
        <v>141.0</v>
      </c>
      <c r="H152" s="1">
        <v>259.0</v>
      </c>
    </row>
    <row r="153">
      <c r="A153" s="1" t="str">
        <f t="shared" si="1"/>
        <v>151259</v>
      </c>
      <c r="B153" s="1">
        <v>151.0</v>
      </c>
      <c r="C153" s="1" t="s">
        <v>446</v>
      </c>
      <c r="D153" s="1">
        <v>3.0</v>
      </c>
      <c r="E153" s="11">
        <v>0.4236111111111111</v>
      </c>
      <c r="F153" s="1">
        <v>87.0</v>
      </c>
      <c r="G153" s="1">
        <v>253.0</v>
      </c>
      <c r="H153" s="1">
        <v>259.0</v>
      </c>
    </row>
    <row r="154">
      <c r="A154" s="1" t="str">
        <f t="shared" si="1"/>
        <v>152259</v>
      </c>
      <c r="B154" s="1">
        <v>152.0</v>
      </c>
      <c r="C154" s="1" t="s">
        <v>446</v>
      </c>
      <c r="D154" s="1">
        <v>3.0</v>
      </c>
      <c r="E154" s="11">
        <v>0.4388888888888889</v>
      </c>
      <c r="F154" s="1">
        <v>397.0</v>
      </c>
      <c r="G154" s="1">
        <v>88.0</v>
      </c>
      <c r="H154" s="1">
        <v>259.0</v>
      </c>
    </row>
    <row r="155">
      <c r="A155" s="1" t="str">
        <f t="shared" si="1"/>
        <v>153259</v>
      </c>
      <c r="B155" s="1">
        <v>153.0</v>
      </c>
      <c r="C155" s="1" t="s">
        <v>445</v>
      </c>
      <c r="D155" s="1">
        <v>3.0</v>
      </c>
      <c r="E155" s="11">
        <v>0.4486111111111111</v>
      </c>
      <c r="F155" s="1">
        <v>300.0</v>
      </c>
      <c r="G155" s="1">
        <v>150.0</v>
      </c>
      <c r="H155" s="1">
        <v>259.0</v>
      </c>
    </row>
    <row r="156">
      <c r="A156" s="1" t="str">
        <f t="shared" si="1"/>
        <v>154259</v>
      </c>
      <c r="B156" s="1">
        <v>154.0</v>
      </c>
      <c r="C156" s="1" t="s">
        <v>446</v>
      </c>
      <c r="D156" s="1">
        <v>3.0</v>
      </c>
      <c r="E156" s="11">
        <v>0.4618055555555556</v>
      </c>
      <c r="F156" s="1">
        <v>130.0</v>
      </c>
      <c r="G156" s="1">
        <v>155.0</v>
      </c>
      <c r="H156" s="1">
        <v>259.0</v>
      </c>
    </row>
    <row r="157">
      <c r="A157" s="1" t="str">
        <f t="shared" si="1"/>
        <v>155259</v>
      </c>
      <c r="B157" s="1">
        <v>155.0</v>
      </c>
      <c r="C157" s="1" t="s">
        <v>445</v>
      </c>
      <c r="D157" s="1">
        <v>3.0</v>
      </c>
      <c r="E157" s="11">
        <v>0.46875</v>
      </c>
      <c r="F157" s="1">
        <v>143.0</v>
      </c>
      <c r="G157" s="1">
        <v>94.0</v>
      </c>
      <c r="H157" s="1">
        <v>259.0</v>
      </c>
    </row>
    <row r="158">
      <c r="A158" s="1" t="str">
        <f t="shared" si="1"/>
        <v>156259</v>
      </c>
      <c r="B158" s="1">
        <v>156.0</v>
      </c>
      <c r="C158" s="1" t="s">
        <v>447</v>
      </c>
      <c r="D158" s="1">
        <v>3.0</v>
      </c>
      <c r="E158" s="11">
        <v>0.46944444444444444</v>
      </c>
      <c r="F158" s="1">
        <v>193.0</v>
      </c>
      <c r="G158" s="1">
        <v>180.0</v>
      </c>
      <c r="H158" s="1">
        <v>259.0</v>
      </c>
    </row>
    <row r="159">
      <c r="A159" s="1" t="str">
        <f t="shared" si="1"/>
        <v>157259</v>
      </c>
      <c r="B159" s="1">
        <v>157.0</v>
      </c>
      <c r="C159" s="1" t="s">
        <v>449</v>
      </c>
      <c r="D159" s="1">
        <v>3.0</v>
      </c>
      <c r="E159" s="11">
        <v>0.4777777777777778</v>
      </c>
      <c r="F159" s="1">
        <v>254.0</v>
      </c>
      <c r="G159" s="1">
        <v>136.0</v>
      </c>
      <c r="H159" s="1">
        <v>259.0</v>
      </c>
    </row>
    <row r="160">
      <c r="A160" s="1" t="str">
        <f t="shared" si="1"/>
        <v>158259</v>
      </c>
      <c r="B160" s="1">
        <v>158.0</v>
      </c>
      <c r="C160" s="1" t="s">
        <v>449</v>
      </c>
      <c r="D160" s="1">
        <v>3.0</v>
      </c>
      <c r="E160" s="11">
        <v>0.49722222222222223</v>
      </c>
      <c r="F160" s="1">
        <v>152.0</v>
      </c>
      <c r="G160" s="1">
        <v>296.0</v>
      </c>
      <c r="H160" s="1">
        <v>259.0</v>
      </c>
    </row>
    <row r="161">
      <c r="A161" s="1" t="str">
        <f t="shared" si="1"/>
        <v>159259</v>
      </c>
      <c r="B161" s="1">
        <v>159.0</v>
      </c>
      <c r="C161" s="1" t="s">
        <v>447</v>
      </c>
      <c r="D161" s="1">
        <v>3.0</v>
      </c>
      <c r="E161" s="11">
        <v>0.5090277777777777</v>
      </c>
      <c r="F161" s="1">
        <v>472.0</v>
      </c>
      <c r="G161" s="1">
        <v>118.0</v>
      </c>
      <c r="H161" s="1">
        <v>259.0</v>
      </c>
    </row>
    <row r="162">
      <c r="A162" s="1" t="str">
        <f t="shared" si="1"/>
        <v>160259</v>
      </c>
      <c r="B162" s="1">
        <v>160.0</v>
      </c>
      <c r="C162" s="1" t="s">
        <v>446</v>
      </c>
      <c r="D162" s="1">
        <v>3.0</v>
      </c>
      <c r="E162" s="11">
        <v>0.5145833333333333</v>
      </c>
      <c r="F162" s="1">
        <v>168.0</v>
      </c>
      <c r="G162" s="1">
        <v>133.0</v>
      </c>
      <c r="H162" s="1">
        <v>259.0</v>
      </c>
    </row>
    <row r="163">
      <c r="A163" s="1" t="str">
        <f t="shared" si="1"/>
        <v>161259</v>
      </c>
      <c r="B163" s="1">
        <v>161.0</v>
      </c>
      <c r="C163" s="1" t="s">
        <v>447</v>
      </c>
      <c r="D163" s="1">
        <v>3.0</v>
      </c>
      <c r="E163" s="11">
        <v>0.5173611111111112</v>
      </c>
      <c r="F163" s="1">
        <v>465.0</v>
      </c>
      <c r="G163" s="1">
        <v>67.0</v>
      </c>
      <c r="H163" s="1">
        <v>259.0</v>
      </c>
    </row>
    <row r="164">
      <c r="A164" s="1" t="str">
        <f t="shared" si="1"/>
        <v>162259</v>
      </c>
      <c r="B164" s="1">
        <v>162.0</v>
      </c>
      <c r="C164" s="1" t="s">
        <v>445</v>
      </c>
      <c r="D164" s="1">
        <v>3.0</v>
      </c>
      <c r="E164" s="11">
        <v>0.5458333333333333</v>
      </c>
      <c r="F164" s="1">
        <v>500.0</v>
      </c>
      <c r="G164" s="1">
        <v>94.0</v>
      </c>
      <c r="H164" s="1">
        <v>259.0</v>
      </c>
    </row>
    <row r="165">
      <c r="A165" s="1" t="str">
        <f t="shared" si="1"/>
        <v>163259</v>
      </c>
      <c r="B165" s="1">
        <v>163.0</v>
      </c>
      <c r="C165" s="1" t="s">
        <v>447</v>
      </c>
      <c r="D165" s="1">
        <v>3.0</v>
      </c>
      <c r="E165" s="11">
        <v>0.5701388888888889</v>
      </c>
      <c r="F165" s="1">
        <v>530.0</v>
      </c>
      <c r="G165" s="1">
        <v>211.0</v>
      </c>
      <c r="H165" s="1">
        <v>259.0</v>
      </c>
    </row>
    <row r="166">
      <c r="A166" s="1" t="str">
        <f t="shared" si="1"/>
        <v>164259</v>
      </c>
      <c r="B166" s="1">
        <v>164.0</v>
      </c>
      <c r="C166" s="1" t="s">
        <v>445</v>
      </c>
      <c r="D166" s="1">
        <v>3.0</v>
      </c>
      <c r="E166" s="11">
        <v>0.5819444444444445</v>
      </c>
      <c r="F166" s="1">
        <v>500.0</v>
      </c>
      <c r="G166" s="1">
        <v>94.0</v>
      </c>
      <c r="H166" s="1">
        <v>259.0</v>
      </c>
    </row>
    <row r="167">
      <c r="A167" s="1" t="str">
        <f t="shared" si="1"/>
        <v>165259</v>
      </c>
      <c r="B167" s="1">
        <v>165.0</v>
      </c>
      <c r="C167" s="1" t="s">
        <v>447</v>
      </c>
      <c r="D167" s="1">
        <v>3.0</v>
      </c>
      <c r="E167" s="11">
        <v>0.5854166666666667</v>
      </c>
      <c r="F167" s="1">
        <v>440.0</v>
      </c>
      <c r="G167" s="1">
        <v>217.0</v>
      </c>
      <c r="H167" s="1">
        <v>259.0</v>
      </c>
    </row>
    <row r="168">
      <c r="A168" s="1" t="str">
        <f t="shared" si="1"/>
        <v>166259</v>
      </c>
      <c r="B168" s="1">
        <v>166.0</v>
      </c>
      <c r="C168" s="1" t="s">
        <v>447</v>
      </c>
      <c r="D168" s="1">
        <v>3.0</v>
      </c>
      <c r="E168" s="11">
        <v>0.5979166666666667</v>
      </c>
      <c r="F168" s="1">
        <v>399.0</v>
      </c>
      <c r="G168" s="1">
        <v>153.0</v>
      </c>
      <c r="H168" s="1">
        <v>259.0</v>
      </c>
    </row>
    <row r="169">
      <c r="A169" s="1" t="str">
        <f t="shared" si="1"/>
        <v>167259</v>
      </c>
      <c r="B169" s="1">
        <v>167.0</v>
      </c>
      <c r="C169" s="1" t="s">
        <v>445</v>
      </c>
      <c r="D169" s="1">
        <v>3.0</v>
      </c>
      <c r="E169" s="11">
        <v>0.5993055555555555</v>
      </c>
      <c r="F169" s="1">
        <v>500.0</v>
      </c>
      <c r="G169" s="1">
        <v>94.0</v>
      </c>
      <c r="H169" s="1">
        <v>259.0</v>
      </c>
    </row>
    <row r="170">
      <c r="A170" s="1" t="str">
        <f t="shared" si="1"/>
        <v>168259</v>
      </c>
      <c r="B170" s="1">
        <v>168.0</v>
      </c>
      <c r="C170" s="1" t="s">
        <v>445</v>
      </c>
      <c r="D170" s="1">
        <v>3.0</v>
      </c>
      <c r="E170" s="11">
        <v>0.6055555555555555</v>
      </c>
      <c r="F170" s="1">
        <v>500.0</v>
      </c>
      <c r="G170" s="1">
        <v>94.0</v>
      </c>
      <c r="H170" s="1">
        <v>259.0</v>
      </c>
    </row>
    <row r="171">
      <c r="A171" s="1" t="str">
        <f t="shared" si="1"/>
        <v>169259</v>
      </c>
      <c r="B171" s="1">
        <v>169.0</v>
      </c>
      <c r="C171" s="1" t="s">
        <v>446</v>
      </c>
      <c r="D171" s="1">
        <v>3.0</v>
      </c>
      <c r="E171" s="11">
        <v>0.61875</v>
      </c>
      <c r="F171" s="1">
        <v>456.0</v>
      </c>
      <c r="G171" s="1">
        <v>171.0</v>
      </c>
      <c r="H171" s="1">
        <v>259.0</v>
      </c>
    </row>
    <row r="172">
      <c r="A172" s="1" t="str">
        <f t="shared" si="1"/>
        <v>170259</v>
      </c>
      <c r="B172" s="1">
        <v>170.0</v>
      </c>
      <c r="C172" s="1" t="s">
        <v>449</v>
      </c>
      <c r="D172" s="1">
        <v>3.0</v>
      </c>
      <c r="E172" s="11">
        <v>0.6354166666666666</v>
      </c>
      <c r="F172" s="1">
        <v>597.0</v>
      </c>
      <c r="G172" s="1">
        <v>69.0</v>
      </c>
      <c r="H172" s="1">
        <v>259.0</v>
      </c>
    </row>
    <row r="173">
      <c r="A173" s="1" t="str">
        <f t="shared" si="1"/>
        <v>171259</v>
      </c>
      <c r="B173" s="1">
        <v>171.0</v>
      </c>
      <c r="C173" s="1" t="s">
        <v>447</v>
      </c>
      <c r="D173" s="1">
        <v>3.0</v>
      </c>
      <c r="E173" s="11">
        <v>0.6458333333333334</v>
      </c>
      <c r="F173" s="1">
        <v>554.0</v>
      </c>
      <c r="G173" s="1">
        <v>174.0</v>
      </c>
      <c r="H173" s="1">
        <v>259.0</v>
      </c>
    </row>
    <row r="174">
      <c r="A174" s="1" t="str">
        <f t="shared" si="1"/>
        <v>172259</v>
      </c>
      <c r="B174" s="1">
        <v>172.0</v>
      </c>
      <c r="C174" s="1" t="s">
        <v>445</v>
      </c>
      <c r="D174" s="1">
        <v>3.0</v>
      </c>
      <c r="E174" s="11">
        <v>0.6472222222222223</v>
      </c>
      <c r="F174" s="1">
        <v>500.0</v>
      </c>
      <c r="G174" s="1">
        <v>251.0</v>
      </c>
      <c r="H174" s="1">
        <v>259.0</v>
      </c>
    </row>
    <row r="175">
      <c r="A175" s="1" t="str">
        <f t="shared" si="1"/>
        <v>173259</v>
      </c>
      <c r="B175" s="1">
        <v>173.0</v>
      </c>
      <c r="C175" s="1" t="s">
        <v>445</v>
      </c>
      <c r="D175" s="1">
        <v>3.0</v>
      </c>
      <c r="E175" s="11">
        <v>0.7222222222222222</v>
      </c>
      <c r="F175" s="1">
        <v>500.0</v>
      </c>
      <c r="G175" s="1">
        <v>94.0</v>
      </c>
      <c r="H175" s="1">
        <v>259.0</v>
      </c>
    </row>
    <row r="176">
      <c r="A176" s="1" t="str">
        <f t="shared" si="1"/>
        <v>174259</v>
      </c>
      <c r="B176" s="1">
        <v>174.0</v>
      </c>
      <c r="C176" s="1" t="s">
        <v>446</v>
      </c>
      <c r="D176" s="1">
        <v>3.0</v>
      </c>
      <c r="E176" s="11">
        <v>0.7298611111111111</v>
      </c>
      <c r="F176" s="1">
        <v>488.0</v>
      </c>
      <c r="G176" s="1">
        <v>52.0</v>
      </c>
      <c r="H176" s="1">
        <v>259.0</v>
      </c>
    </row>
    <row r="177">
      <c r="A177" s="1" t="str">
        <f t="shared" si="1"/>
        <v>175259</v>
      </c>
      <c r="B177" s="1">
        <v>175.0</v>
      </c>
      <c r="C177" s="1" t="s">
        <v>447</v>
      </c>
      <c r="D177" s="1">
        <v>3.0</v>
      </c>
      <c r="E177" s="11">
        <v>0.7388888888888889</v>
      </c>
      <c r="F177" s="1">
        <v>110.0</v>
      </c>
      <c r="G177" s="1">
        <v>292.0</v>
      </c>
      <c r="H177" s="1">
        <v>259.0</v>
      </c>
    </row>
    <row r="178">
      <c r="A178" s="1" t="str">
        <f t="shared" si="1"/>
        <v>176259</v>
      </c>
      <c r="B178" s="1">
        <v>176.0</v>
      </c>
      <c r="C178" s="1" t="s">
        <v>447</v>
      </c>
      <c r="D178" s="1">
        <v>3.0</v>
      </c>
      <c r="E178" s="11">
        <v>0.7534722222222222</v>
      </c>
      <c r="F178" s="1">
        <v>100.0</v>
      </c>
      <c r="G178" s="1">
        <v>57.0</v>
      </c>
      <c r="H178" s="1">
        <v>259.0</v>
      </c>
    </row>
    <row r="179">
      <c r="A179" s="1" t="str">
        <f t="shared" si="1"/>
        <v>177259</v>
      </c>
      <c r="B179" s="1">
        <v>177.0</v>
      </c>
      <c r="C179" s="1" t="s">
        <v>446</v>
      </c>
      <c r="D179" s="1">
        <v>3.0</v>
      </c>
      <c r="E179" s="11">
        <v>0.7784722222222222</v>
      </c>
      <c r="F179" s="1">
        <v>117.0</v>
      </c>
      <c r="G179" s="1">
        <v>205.0</v>
      </c>
      <c r="H179" s="1">
        <v>259.0</v>
      </c>
    </row>
    <row r="180">
      <c r="A180" s="1" t="str">
        <f t="shared" si="1"/>
        <v>178259</v>
      </c>
      <c r="B180" s="1">
        <v>178.0</v>
      </c>
      <c r="C180" s="1" t="s">
        <v>449</v>
      </c>
      <c r="D180" s="1">
        <v>3.0</v>
      </c>
      <c r="E180" s="11">
        <v>0.7819444444444444</v>
      </c>
      <c r="F180" s="1">
        <v>132.0</v>
      </c>
      <c r="G180" s="1">
        <v>10.0</v>
      </c>
      <c r="H180" s="1">
        <v>259.0</v>
      </c>
    </row>
    <row r="181">
      <c r="A181" s="1" t="str">
        <f t="shared" si="1"/>
        <v>179259</v>
      </c>
      <c r="B181" s="1">
        <v>179.0</v>
      </c>
      <c r="C181" s="1" t="s">
        <v>449</v>
      </c>
      <c r="D181" s="1">
        <v>3.0</v>
      </c>
      <c r="E181" s="11">
        <v>0.7875</v>
      </c>
      <c r="F181" s="1">
        <v>134.0</v>
      </c>
      <c r="G181" s="1">
        <v>9.0</v>
      </c>
      <c r="H181" s="1">
        <v>259.0</v>
      </c>
    </row>
    <row r="182">
      <c r="A182" s="1" t="str">
        <f t="shared" si="1"/>
        <v>180259</v>
      </c>
      <c r="B182" s="1">
        <v>180.0</v>
      </c>
      <c r="C182" s="1" t="s">
        <v>446</v>
      </c>
      <c r="D182" s="1">
        <v>3.0</v>
      </c>
      <c r="E182" s="11">
        <v>0.7902777777777777</v>
      </c>
      <c r="F182" s="1">
        <v>472.0</v>
      </c>
      <c r="G182" s="1">
        <v>167.0</v>
      </c>
      <c r="H182" s="1">
        <v>259.0</v>
      </c>
    </row>
    <row r="183">
      <c r="A183" s="1" t="str">
        <f t="shared" si="1"/>
        <v>181259</v>
      </c>
      <c r="B183" s="1">
        <v>181.0</v>
      </c>
      <c r="C183" s="1" t="s">
        <v>446</v>
      </c>
      <c r="D183" s="1">
        <v>3.0</v>
      </c>
      <c r="E183" s="11">
        <v>0.8097222222222222</v>
      </c>
      <c r="F183" s="1">
        <v>501.0</v>
      </c>
      <c r="G183" s="1">
        <v>190.0</v>
      </c>
      <c r="H183" s="1">
        <v>259.0</v>
      </c>
    </row>
    <row r="184">
      <c r="A184" s="1" t="str">
        <f t="shared" si="1"/>
        <v>182259</v>
      </c>
      <c r="B184" s="1">
        <v>182.0</v>
      </c>
      <c r="C184" s="1" t="s">
        <v>447</v>
      </c>
      <c r="D184" s="1">
        <v>3.0</v>
      </c>
      <c r="E184" s="11">
        <v>0.8270833333333333</v>
      </c>
      <c r="F184" s="1">
        <v>175.0</v>
      </c>
      <c r="G184" s="1">
        <v>94.0</v>
      </c>
      <c r="H184" s="1">
        <v>259.0</v>
      </c>
    </row>
    <row r="185">
      <c r="A185" s="1" t="str">
        <f t="shared" si="1"/>
        <v>183259</v>
      </c>
      <c r="B185" s="1">
        <v>183.0</v>
      </c>
      <c r="C185" s="1" t="s">
        <v>445</v>
      </c>
      <c r="D185" s="1">
        <v>3.0</v>
      </c>
      <c r="E185" s="11">
        <v>0.8277777777777777</v>
      </c>
      <c r="F185" s="1">
        <v>143.0</v>
      </c>
      <c r="G185" s="1">
        <v>94.0</v>
      </c>
      <c r="H185" s="1">
        <v>259.0</v>
      </c>
    </row>
    <row r="186">
      <c r="A186" s="1" t="str">
        <f t="shared" si="1"/>
        <v>184259</v>
      </c>
      <c r="B186" s="1">
        <v>184.0</v>
      </c>
      <c r="C186" s="1" t="s">
        <v>446</v>
      </c>
      <c r="D186" s="1">
        <v>3.0</v>
      </c>
      <c r="E186" s="11">
        <v>0.8305555555555556</v>
      </c>
      <c r="F186" s="1">
        <v>180.0</v>
      </c>
      <c r="G186" s="1">
        <v>182.0</v>
      </c>
      <c r="H186" s="1">
        <v>259.0</v>
      </c>
    </row>
    <row r="187">
      <c r="A187" s="1" t="str">
        <f t="shared" si="1"/>
        <v>185259</v>
      </c>
      <c r="B187" s="1">
        <v>185.0</v>
      </c>
      <c r="C187" s="1" t="s">
        <v>446</v>
      </c>
      <c r="D187" s="1">
        <v>3.0</v>
      </c>
      <c r="E187" s="11">
        <v>0.8319444444444445</v>
      </c>
      <c r="F187" s="1">
        <v>179.0</v>
      </c>
      <c r="G187" s="1">
        <v>165.0</v>
      </c>
      <c r="H187" s="1">
        <v>259.0</v>
      </c>
    </row>
    <row r="188">
      <c r="A188" s="1" t="str">
        <f t="shared" si="1"/>
        <v>186259</v>
      </c>
      <c r="B188" s="1">
        <v>186.0</v>
      </c>
      <c r="C188" s="1" t="s">
        <v>445</v>
      </c>
      <c r="D188" s="1">
        <v>4.0</v>
      </c>
      <c r="E188" s="11">
        <v>0.0</v>
      </c>
      <c r="F188" s="1">
        <v>300.0</v>
      </c>
      <c r="G188" s="1">
        <v>150.0</v>
      </c>
      <c r="H188" s="1">
        <v>259.0</v>
      </c>
    </row>
    <row r="189">
      <c r="A189" s="1" t="str">
        <f t="shared" si="1"/>
        <v>187259</v>
      </c>
      <c r="B189" s="1">
        <v>187.0</v>
      </c>
      <c r="C189" s="1" t="s">
        <v>447</v>
      </c>
      <c r="D189" s="1">
        <v>4.0</v>
      </c>
      <c r="E189" s="11">
        <v>0.020833333333333332</v>
      </c>
      <c r="F189" s="1">
        <v>213.0</v>
      </c>
      <c r="G189" s="1">
        <v>165.0</v>
      </c>
      <c r="H189" s="1">
        <v>259.0</v>
      </c>
    </row>
    <row r="190">
      <c r="A190" s="1" t="str">
        <f t="shared" si="1"/>
        <v>188259</v>
      </c>
      <c r="B190" s="1">
        <v>188.0</v>
      </c>
      <c r="C190" s="1" t="s">
        <v>447</v>
      </c>
      <c r="D190" s="1">
        <v>4.0</v>
      </c>
      <c r="E190" s="11">
        <v>0.02847222222222222</v>
      </c>
      <c r="F190" s="1">
        <v>507.0</v>
      </c>
      <c r="G190" s="1">
        <v>153.0</v>
      </c>
      <c r="H190" s="1">
        <v>259.0</v>
      </c>
    </row>
    <row r="191">
      <c r="A191" s="1" t="str">
        <f t="shared" si="1"/>
        <v>189259</v>
      </c>
      <c r="B191" s="1">
        <v>189.0</v>
      </c>
      <c r="C191" s="1" t="s">
        <v>447</v>
      </c>
      <c r="D191" s="1">
        <v>4.0</v>
      </c>
      <c r="E191" s="11">
        <v>0.13333333333333333</v>
      </c>
      <c r="F191" s="1">
        <v>155.0</v>
      </c>
      <c r="G191" s="1">
        <v>251.0</v>
      </c>
      <c r="H191" s="1">
        <v>259.0</v>
      </c>
    </row>
    <row r="192">
      <c r="A192" s="1" t="str">
        <f t="shared" si="1"/>
        <v>190259</v>
      </c>
      <c r="B192" s="1">
        <v>190.0</v>
      </c>
      <c r="C192" s="1" t="s">
        <v>446</v>
      </c>
      <c r="D192" s="1" t="s">
        <v>451</v>
      </c>
      <c r="E192" s="11">
        <v>0.1388888888888889</v>
      </c>
      <c r="F192" s="1">
        <v>42.0</v>
      </c>
      <c r="G192" s="1">
        <v>128.0</v>
      </c>
      <c r="H192" s="1">
        <v>259.0</v>
      </c>
    </row>
    <row r="193">
      <c r="A193" s="1" t="str">
        <f t="shared" si="1"/>
        <v>191259</v>
      </c>
      <c r="B193" s="1">
        <v>191.0</v>
      </c>
      <c r="C193" s="1" t="s">
        <v>446</v>
      </c>
      <c r="D193" s="1" t="s">
        <v>451</v>
      </c>
      <c r="E193" s="11">
        <v>0.14027777777777778</v>
      </c>
      <c r="F193" s="1">
        <v>177.0</v>
      </c>
      <c r="G193" s="1">
        <v>244.0</v>
      </c>
      <c r="H193" s="1">
        <v>259.0</v>
      </c>
    </row>
    <row r="194">
      <c r="A194" s="1" t="str">
        <f t="shared" si="1"/>
        <v>192259</v>
      </c>
      <c r="B194" s="1">
        <v>192.0</v>
      </c>
      <c r="C194" s="1" t="s">
        <v>445</v>
      </c>
      <c r="D194" s="1">
        <v>4.0</v>
      </c>
      <c r="E194" s="11">
        <v>0.16944444444444445</v>
      </c>
      <c r="F194" s="1">
        <v>457.0</v>
      </c>
      <c r="G194" s="1">
        <v>206.0</v>
      </c>
      <c r="H194" s="1">
        <v>259.0</v>
      </c>
    </row>
    <row r="195">
      <c r="A195" s="1" t="str">
        <f t="shared" si="1"/>
        <v>193259</v>
      </c>
      <c r="B195" s="1">
        <v>193.0</v>
      </c>
      <c r="C195" s="1" t="s">
        <v>445</v>
      </c>
      <c r="D195" s="1">
        <v>4.0</v>
      </c>
      <c r="E195" s="11">
        <v>0.18680555555555556</v>
      </c>
      <c r="F195" s="1">
        <v>100.0</v>
      </c>
      <c r="G195" s="1">
        <v>206.0</v>
      </c>
      <c r="H195" s="1">
        <v>259.0</v>
      </c>
    </row>
    <row r="196">
      <c r="A196" s="1" t="str">
        <f t="shared" si="1"/>
        <v>194259</v>
      </c>
      <c r="B196" s="1">
        <v>194.0</v>
      </c>
      <c r="C196" s="1" t="s">
        <v>447</v>
      </c>
      <c r="D196" s="1">
        <v>4.0</v>
      </c>
      <c r="E196" s="11">
        <v>0.1951388888888889</v>
      </c>
      <c r="F196" s="1">
        <v>439.0</v>
      </c>
      <c r="G196" s="1">
        <v>248.0</v>
      </c>
      <c r="H196" s="1">
        <v>259.0</v>
      </c>
    </row>
    <row r="197">
      <c r="A197" s="1" t="str">
        <f t="shared" si="1"/>
        <v>195259</v>
      </c>
      <c r="B197" s="1">
        <v>195.0</v>
      </c>
      <c r="C197" s="1" t="s">
        <v>445</v>
      </c>
      <c r="D197" s="1">
        <v>4.0</v>
      </c>
      <c r="E197" s="11">
        <v>0.19652777777777777</v>
      </c>
      <c r="F197" s="1">
        <v>457.0</v>
      </c>
      <c r="G197" s="1">
        <v>206.0</v>
      </c>
      <c r="H197" s="1">
        <v>259.0</v>
      </c>
    </row>
    <row r="198">
      <c r="A198" s="1" t="str">
        <f t="shared" si="1"/>
        <v>196259</v>
      </c>
      <c r="B198" s="1">
        <v>196.0</v>
      </c>
      <c r="C198" s="1" t="s">
        <v>447</v>
      </c>
      <c r="D198" s="1">
        <v>4.0</v>
      </c>
      <c r="E198" s="11">
        <v>0.20277777777777778</v>
      </c>
      <c r="F198" s="1">
        <v>533.0</v>
      </c>
      <c r="G198" s="1">
        <v>226.0</v>
      </c>
      <c r="H198" s="1">
        <v>259.0</v>
      </c>
    </row>
    <row r="199">
      <c r="A199" s="1" t="str">
        <f t="shared" si="1"/>
        <v>197259</v>
      </c>
      <c r="B199" s="1">
        <v>197.0</v>
      </c>
      <c r="C199" s="1" t="s">
        <v>447</v>
      </c>
      <c r="D199" s="1">
        <v>4.0</v>
      </c>
      <c r="E199" s="11">
        <v>0.2076388888888889</v>
      </c>
      <c r="F199" s="1">
        <v>111.0</v>
      </c>
      <c r="G199" s="1">
        <v>78.0</v>
      </c>
      <c r="H199" s="1">
        <v>259.0</v>
      </c>
    </row>
    <row r="200">
      <c r="A200" s="1" t="str">
        <f t="shared" si="1"/>
        <v>198259</v>
      </c>
      <c r="B200" s="1">
        <v>198.0</v>
      </c>
      <c r="C200" s="1" t="s">
        <v>452</v>
      </c>
      <c r="D200" s="1" t="s">
        <v>324</v>
      </c>
      <c r="E200" s="1" t="s">
        <v>324</v>
      </c>
      <c r="F200" s="1"/>
      <c r="G200" s="1"/>
      <c r="H200" s="1">
        <v>259.0</v>
      </c>
    </row>
    <row r="201">
      <c r="A201" s="1" t="str">
        <f t="shared" si="1"/>
        <v>199259</v>
      </c>
      <c r="B201" s="1">
        <v>199.0</v>
      </c>
      <c r="C201" s="1" t="s">
        <v>452</v>
      </c>
      <c r="D201" s="1" t="s">
        <v>324</v>
      </c>
      <c r="E201" s="1" t="s">
        <v>324</v>
      </c>
      <c r="F201" s="1"/>
      <c r="G201" s="1"/>
      <c r="H201" s="1">
        <v>259.0</v>
      </c>
    </row>
    <row r="202">
      <c r="A202" s="1" t="str">
        <f t="shared" si="1"/>
        <v>200259</v>
      </c>
      <c r="B202" s="1">
        <v>200.0</v>
      </c>
      <c r="C202" s="1" t="s">
        <v>452</v>
      </c>
      <c r="D202" s="1" t="s">
        <v>324</v>
      </c>
      <c r="E202" s="1" t="s">
        <v>324</v>
      </c>
      <c r="F202" s="1"/>
      <c r="G202" s="1"/>
      <c r="H202" s="1">
        <v>259.0</v>
      </c>
    </row>
    <row r="203">
      <c r="A203" s="1" t="str">
        <f t="shared" si="1"/>
        <v>201259</v>
      </c>
      <c r="B203" s="1">
        <v>201.0</v>
      </c>
      <c r="C203" s="1" t="s">
        <v>452</v>
      </c>
      <c r="D203" s="1" t="s">
        <v>324</v>
      </c>
      <c r="E203" s="1" t="s">
        <v>324</v>
      </c>
      <c r="F203" s="1"/>
      <c r="G203" s="1"/>
      <c r="H203" s="1">
        <v>259.0</v>
      </c>
    </row>
    <row r="204">
      <c r="A204" s="1" t="str">
        <f t="shared" si="1"/>
        <v>202259</v>
      </c>
      <c r="B204" s="1">
        <v>202.0</v>
      </c>
      <c r="C204" s="1" t="s">
        <v>452</v>
      </c>
      <c r="D204" s="1" t="s">
        <v>324</v>
      </c>
      <c r="E204" s="1" t="s">
        <v>324</v>
      </c>
      <c r="F204" s="1"/>
      <c r="G204" s="1"/>
      <c r="H204" s="1">
        <v>259.0</v>
      </c>
    </row>
    <row r="205">
      <c r="A205" s="1" t="str">
        <f t="shared" si="1"/>
        <v>203259</v>
      </c>
      <c r="B205" s="1">
        <v>203.0</v>
      </c>
      <c r="C205" s="1" t="s">
        <v>452</v>
      </c>
      <c r="D205" s="1" t="s">
        <v>324</v>
      </c>
      <c r="E205" s="1" t="s">
        <v>324</v>
      </c>
      <c r="F205" s="1"/>
      <c r="G205" s="1"/>
      <c r="H205" s="1">
        <v>259.0</v>
      </c>
    </row>
    <row r="206">
      <c r="A206" s="1" t="str">
        <f t="shared" si="1"/>
        <v>204259</v>
      </c>
      <c r="B206" s="1">
        <v>204.0</v>
      </c>
      <c r="C206" s="1" t="s">
        <v>452</v>
      </c>
      <c r="D206" s="1" t="s">
        <v>324</v>
      </c>
      <c r="E206" s="1" t="s">
        <v>324</v>
      </c>
      <c r="F206" s="1"/>
      <c r="G206" s="1"/>
      <c r="H206" s="1">
        <v>259.0</v>
      </c>
    </row>
    <row r="207">
      <c r="A207" s="1" t="str">
        <f t="shared" si="1"/>
        <v>205259</v>
      </c>
      <c r="B207" s="1">
        <v>205.0</v>
      </c>
      <c r="C207" s="1" t="s">
        <v>452</v>
      </c>
      <c r="D207" s="1" t="s">
        <v>324</v>
      </c>
      <c r="E207" s="1" t="s">
        <v>324</v>
      </c>
      <c r="F207" s="1"/>
      <c r="G207" s="1"/>
      <c r="H207" s="1">
        <v>259.0</v>
      </c>
    </row>
    <row r="208">
      <c r="A208" s="1" t="str">
        <f t="shared" si="1"/>
        <v>206259</v>
      </c>
      <c r="B208" s="1">
        <v>206.0</v>
      </c>
      <c r="C208" s="1" t="s">
        <v>452</v>
      </c>
      <c r="D208" s="1" t="s">
        <v>324</v>
      </c>
      <c r="E208" s="1" t="s">
        <v>324</v>
      </c>
      <c r="F208" s="1"/>
      <c r="G208" s="1"/>
      <c r="H208" s="1">
        <v>259.0</v>
      </c>
    </row>
    <row r="209">
      <c r="A209" s="1" t="str">
        <f t="shared" si="1"/>
        <v>207259</v>
      </c>
      <c r="B209" s="1">
        <v>207.0</v>
      </c>
      <c r="C209" s="1" t="s">
        <v>452</v>
      </c>
      <c r="D209" s="1" t="s">
        <v>324</v>
      </c>
      <c r="E209" s="1" t="s">
        <v>324</v>
      </c>
      <c r="F209" s="1"/>
      <c r="G209" s="1"/>
      <c r="H209" s="1">
        <v>259.0</v>
      </c>
    </row>
    <row r="210">
      <c r="A210" s="1" t="str">
        <f t="shared" si="1"/>
        <v>0261</v>
      </c>
      <c r="B210" s="1">
        <v>0.0</v>
      </c>
      <c r="C210" s="1" t="s">
        <v>444</v>
      </c>
      <c r="D210" s="1">
        <v>1.0</v>
      </c>
      <c r="E210" s="11">
        <v>0.0</v>
      </c>
      <c r="F210" s="1"/>
      <c r="G210" s="1"/>
      <c r="H210" s="1">
        <v>261.0</v>
      </c>
    </row>
    <row r="211">
      <c r="A211" s="1" t="str">
        <f t="shared" si="1"/>
        <v>1261</v>
      </c>
      <c r="B211" s="1">
        <v>1.0</v>
      </c>
      <c r="C211" s="1" t="s">
        <v>444</v>
      </c>
      <c r="D211" s="1">
        <v>1.0</v>
      </c>
      <c r="E211" s="11">
        <v>0.0</v>
      </c>
      <c r="F211" s="1"/>
      <c r="G211" s="1"/>
      <c r="H211" s="1">
        <v>261.0</v>
      </c>
    </row>
    <row r="212">
      <c r="A212" s="1" t="str">
        <f t="shared" si="1"/>
        <v>2261</v>
      </c>
      <c r="B212" s="1">
        <v>2.0</v>
      </c>
      <c r="C212" s="1" t="s">
        <v>445</v>
      </c>
      <c r="D212" s="1">
        <v>1.0</v>
      </c>
      <c r="E212" s="11">
        <v>0.0</v>
      </c>
      <c r="F212" s="1">
        <v>300.0</v>
      </c>
      <c r="G212" s="1">
        <v>150.0</v>
      </c>
      <c r="H212" s="1">
        <v>261.0</v>
      </c>
    </row>
    <row r="213">
      <c r="A213" s="1" t="str">
        <f t="shared" si="1"/>
        <v>3261</v>
      </c>
      <c r="B213" s="1">
        <v>3.0</v>
      </c>
      <c r="C213" s="1" t="s">
        <v>447</v>
      </c>
      <c r="D213" s="1">
        <v>1.0</v>
      </c>
      <c r="E213" s="11">
        <v>0.029861111111111113</v>
      </c>
      <c r="F213" s="1">
        <v>350.0</v>
      </c>
      <c r="G213" s="1">
        <v>53.0</v>
      </c>
      <c r="H213" s="1">
        <v>261.0</v>
      </c>
    </row>
    <row r="214">
      <c r="A214" s="1" t="str">
        <f t="shared" si="1"/>
        <v>4261</v>
      </c>
      <c r="B214" s="1">
        <v>4.0</v>
      </c>
      <c r="C214" s="1" t="s">
        <v>447</v>
      </c>
      <c r="D214" s="1">
        <v>1.0</v>
      </c>
      <c r="E214" s="11">
        <v>0.05416666666666667</v>
      </c>
      <c r="F214" s="1">
        <v>513.0</v>
      </c>
      <c r="G214" s="1">
        <v>196.0</v>
      </c>
      <c r="H214" s="1">
        <v>261.0</v>
      </c>
    </row>
    <row r="215">
      <c r="A215" s="1" t="str">
        <f t="shared" si="1"/>
        <v>5261</v>
      </c>
      <c r="B215" s="1">
        <v>5.0</v>
      </c>
      <c r="C215" s="1" t="s">
        <v>450</v>
      </c>
      <c r="D215" s="1">
        <v>1.0</v>
      </c>
      <c r="E215" s="11">
        <v>0.05416666666666667</v>
      </c>
      <c r="F215" s="1">
        <v>513.0</v>
      </c>
      <c r="G215" s="1">
        <v>196.0</v>
      </c>
      <c r="H215" s="1">
        <v>261.0</v>
      </c>
    </row>
    <row r="216">
      <c r="A216" s="1" t="str">
        <f t="shared" si="1"/>
        <v>6261</v>
      </c>
      <c r="B216" s="1">
        <v>6.0</v>
      </c>
      <c r="C216" s="1" t="s">
        <v>445</v>
      </c>
      <c r="D216" s="1">
        <v>1.0</v>
      </c>
      <c r="E216" s="11">
        <v>0.05416666666666667</v>
      </c>
      <c r="F216" s="1">
        <v>300.0</v>
      </c>
      <c r="G216" s="1">
        <v>150.0</v>
      </c>
      <c r="H216" s="1">
        <v>261.0</v>
      </c>
    </row>
    <row r="217">
      <c r="A217" s="1" t="str">
        <f t="shared" si="1"/>
        <v>7261</v>
      </c>
      <c r="B217" s="1">
        <v>7.0</v>
      </c>
      <c r="C217" s="1" t="s">
        <v>447</v>
      </c>
      <c r="D217" s="1">
        <v>1.0</v>
      </c>
      <c r="E217" s="11">
        <v>0.07847222222222222</v>
      </c>
      <c r="F217" s="1">
        <v>338.0</v>
      </c>
      <c r="G217" s="1">
        <v>279.0</v>
      </c>
      <c r="H217" s="1">
        <v>261.0</v>
      </c>
    </row>
    <row r="218">
      <c r="A218" s="1" t="str">
        <f t="shared" si="1"/>
        <v>8261</v>
      </c>
      <c r="B218" s="1">
        <v>8.0</v>
      </c>
      <c r="C218" s="1" t="s">
        <v>445</v>
      </c>
      <c r="D218" s="1">
        <v>1.0</v>
      </c>
      <c r="E218" s="11">
        <v>0.08680555555555555</v>
      </c>
      <c r="F218" s="1">
        <v>100.0</v>
      </c>
      <c r="G218" s="1">
        <v>206.0</v>
      </c>
      <c r="H218" s="1">
        <v>261.0</v>
      </c>
    </row>
    <row r="219">
      <c r="A219" s="1" t="str">
        <f t="shared" si="1"/>
        <v>9261</v>
      </c>
      <c r="B219" s="1">
        <v>9.0</v>
      </c>
      <c r="C219" s="1" t="s">
        <v>446</v>
      </c>
      <c r="D219" s="1">
        <v>1.0</v>
      </c>
      <c r="E219" s="11">
        <v>0.08958333333333333</v>
      </c>
      <c r="F219" s="1">
        <v>387.0</v>
      </c>
      <c r="G219" s="1">
        <v>79.0</v>
      </c>
      <c r="H219" s="1">
        <v>261.0</v>
      </c>
    </row>
    <row r="220">
      <c r="A220" s="1" t="str">
        <f t="shared" si="1"/>
        <v>10261</v>
      </c>
      <c r="B220" s="1">
        <v>10.0</v>
      </c>
      <c r="C220" s="1" t="s">
        <v>445</v>
      </c>
      <c r="D220" s="1">
        <v>1.0</v>
      </c>
      <c r="E220" s="11">
        <v>0.09027777777777778</v>
      </c>
      <c r="F220" s="1">
        <v>100.0</v>
      </c>
      <c r="G220" s="1">
        <v>206.0</v>
      </c>
      <c r="H220" s="1">
        <v>261.0</v>
      </c>
    </row>
    <row r="221">
      <c r="A221" s="1" t="str">
        <f t="shared" si="1"/>
        <v>11261</v>
      </c>
      <c r="B221" s="1">
        <v>11.0</v>
      </c>
      <c r="C221" s="1" t="s">
        <v>447</v>
      </c>
      <c r="D221" s="1">
        <v>1.0</v>
      </c>
      <c r="E221" s="11">
        <v>0.09375</v>
      </c>
      <c r="F221" s="1">
        <v>411.0</v>
      </c>
      <c r="G221" s="1">
        <v>84.0</v>
      </c>
      <c r="H221" s="1">
        <v>261.0</v>
      </c>
    </row>
    <row r="222">
      <c r="A222" s="1" t="str">
        <f t="shared" si="1"/>
        <v>12261</v>
      </c>
      <c r="B222" s="1">
        <v>12.0</v>
      </c>
      <c r="C222" s="1" t="s">
        <v>447</v>
      </c>
      <c r="D222" s="1">
        <v>1.0</v>
      </c>
      <c r="E222" s="11">
        <v>0.09652777777777778</v>
      </c>
      <c r="F222" s="1">
        <v>540.0</v>
      </c>
      <c r="G222" s="1">
        <v>183.0</v>
      </c>
      <c r="H222" s="1">
        <v>261.0</v>
      </c>
    </row>
    <row r="223">
      <c r="A223" s="1" t="str">
        <f t="shared" si="1"/>
        <v>13261</v>
      </c>
      <c r="B223" s="1">
        <v>13.0</v>
      </c>
      <c r="C223" s="1" t="s">
        <v>445</v>
      </c>
      <c r="D223" s="1">
        <v>1.0</v>
      </c>
      <c r="E223" s="11">
        <v>0.1</v>
      </c>
      <c r="F223" s="1">
        <v>100.0</v>
      </c>
      <c r="G223" s="1">
        <v>206.0</v>
      </c>
      <c r="H223" s="1">
        <v>261.0</v>
      </c>
    </row>
    <row r="224">
      <c r="A224" s="1" t="str">
        <f t="shared" si="1"/>
        <v>14261</v>
      </c>
      <c r="B224" s="1">
        <v>14.0</v>
      </c>
      <c r="C224" s="1" t="s">
        <v>446</v>
      </c>
      <c r="D224" s="1">
        <v>1.0</v>
      </c>
      <c r="E224" s="11">
        <v>0.10625</v>
      </c>
      <c r="F224" s="1">
        <v>403.0</v>
      </c>
      <c r="G224" s="1">
        <v>109.0</v>
      </c>
      <c r="H224" s="1">
        <v>261.0</v>
      </c>
    </row>
    <row r="225">
      <c r="A225" s="1" t="str">
        <f t="shared" si="1"/>
        <v>15261</v>
      </c>
      <c r="B225" s="1">
        <v>15.0</v>
      </c>
      <c r="C225" s="1" t="s">
        <v>445</v>
      </c>
      <c r="D225" s="1">
        <v>1.0</v>
      </c>
      <c r="E225" s="11">
        <v>0.10694444444444444</v>
      </c>
      <c r="F225" s="1">
        <v>100.0</v>
      </c>
      <c r="G225" s="1">
        <v>206.0</v>
      </c>
      <c r="H225" s="1">
        <v>261.0</v>
      </c>
    </row>
    <row r="226">
      <c r="A226" s="1" t="str">
        <f t="shared" si="1"/>
        <v>16261</v>
      </c>
      <c r="B226" s="1">
        <v>16.0</v>
      </c>
      <c r="C226" s="1" t="s">
        <v>447</v>
      </c>
      <c r="D226" s="1">
        <v>1.0</v>
      </c>
      <c r="E226" s="11">
        <v>0.12083333333333333</v>
      </c>
      <c r="F226" s="1">
        <v>531.0</v>
      </c>
      <c r="G226" s="1">
        <v>181.0</v>
      </c>
      <c r="H226" s="1">
        <v>261.0</v>
      </c>
    </row>
    <row r="227">
      <c r="A227" s="1" t="str">
        <f t="shared" si="1"/>
        <v>17261</v>
      </c>
      <c r="B227" s="1">
        <v>17.0</v>
      </c>
      <c r="C227" s="1" t="s">
        <v>450</v>
      </c>
      <c r="D227" s="1">
        <v>1.0</v>
      </c>
      <c r="E227" s="11">
        <v>0.12083333333333333</v>
      </c>
      <c r="F227" s="1">
        <v>531.0</v>
      </c>
      <c r="G227" s="1">
        <v>181.0</v>
      </c>
      <c r="H227" s="1">
        <v>261.0</v>
      </c>
    </row>
    <row r="228">
      <c r="A228" s="1" t="str">
        <f t="shared" si="1"/>
        <v>18261</v>
      </c>
      <c r="B228" s="1">
        <v>18.0</v>
      </c>
      <c r="C228" s="1" t="s">
        <v>445</v>
      </c>
      <c r="D228" s="1">
        <v>1.0</v>
      </c>
      <c r="E228" s="11">
        <v>0.12083333333333333</v>
      </c>
      <c r="F228" s="1">
        <v>300.0</v>
      </c>
      <c r="G228" s="1">
        <v>150.0</v>
      </c>
      <c r="H228" s="1">
        <v>261.0</v>
      </c>
    </row>
    <row r="229">
      <c r="A229" s="1" t="str">
        <f t="shared" si="1"/>
        <v>19261</v>
      </c>
      <c r="B229" s="1">
        <v>19.0</v>
      </c>
      <c r="C229" s="1" t="s">
        <v>445</v>
      </c>
      <c r="D229" s="1">
        <v>1.0</v>
      </c>
      <c r="E229" s="11">
        <v>0.15486111111111112</v>
      </c>
      <c r="F229" s="1">
        <v>100.0</v>
      </c>
      <c r="G229" s="1">
        <v>206.0</v>
      </c>
      <c r="H229" s="1">
        <v>261.0</v>
      </c>
    </row>
    <row r="230">
      <c r="A230" s="1" t="str">
        <f t="shared" si="1"/>
        <v>20261</v>
      </c>
      <c r="B230" s="1">
        <v>20.0</v>
      </c>
      <c r="C230" s="1" t="s">
        <v>445</v>
      </c>
      <c r="D230" s="1">
        <v>1.0</v>
      </c>
      <c r="E230" s="11">
        <v>0.16944444444444445</v>
      </c>
      <c r="F230" s="1">
        <v>100.0</v>
      </c>
      <c r="G230" s="1">
        <v>49.0</v>
      </c>
      <c r="H230" s="1">
        <v>261.0</v>
      </c>
    </row>
    <row r="231">
      <c r="A231" s="1" t="str">
        <f t="shared" si="1"/>
        <v>21261</v>
      </c>
      <c r="B231" s="1">
        <v>21.0</v>
      </c>
      <c r="C231" s="1" t="s">
        <v>446</v>
      </c>
      <c r="D231" s="1">
        <v>1.0</v>
      </c>
      <c r="E231" s="11">
        <v>0.1701388888888889</v>
      </c>
      <c r="F231" s="1">
        <v>490.0</v>
      </c>
      <c r="G231" s="1">
        <v>273.0</v>
      </c>
      <c r="H231" s="1">
        <v>261.0</v>
      </c>
    </row>
    <row r="232">
      <c r="A232" s="1" t="str">
        <f t="shared" si="1"/>
        <v>22261</v>
      </c>
      <c r="B232" s="1">
        <v>22.0</v>
      </c>
      <c r="C232" s="1" t="s">
        <v>447</v>
      </c>
      <c r="D232" s="1">
        <v>1.0</v>
      </c>
      <c r="E232" s="11">
        <v>0.1763888888888889</v>
      </c>
      <c r="F232" s="1">
        <v>525.0</v>
      </c>
      <c r="G232" s="1">
        <v>134.0</v>
      </c>
      <c r="H232" s="1">
        <v>261.0</v>
      </c>
    </row>
    <row r="233">
      <c r="A233" s="1" t="str">
        <f t="shared" si="1"/>
        <v>23261</v>
      </c>
      <c r="B233" s="1">
        <v>23.0</v>
      </c>
      <c r="C233" s="1" t="s">
        <v>449</v>
      </c>
      <c r="D233" s="1">
        <v>1.0</v>
      </c>
      <c r="E233" s="11">
        <v>0.2222222222222222</v>
      </c>
      <c r="F233" s="1">
        <v>576.0</v>
      </c>
      <c r="G233" s="1">
        <v>48.0</v>
      </c>
      <c r="H233" s="1">
        <v>261.0</v>
      </c>
    </row>
    <row r="234">
      <c r="A234" s="1" t="str">
        <f t="shared" si="1"/>
        <v>24261</v>
      </c>
      <c r="B234" s="1">
        <v>24.0</v>
      </c>
      <c r="C234" s="1" t="s">
        <v>447</v>
      </c>
      <c r="D234" s="1">
        <v>1.0</v>
      </c>
      <c r="E234" s="11">
        <v>0.22291666666666668</v>
      </c>
      <c r="F234" s="1">
        <v>511.0</v>
      </c>
      <c r="G234" s="1">
        <v>183.0</v>
      </c>
      <c r="H234" s="1">
        <v>261.0</v>
      </c>
    </row>
    <row r="235">
      <c r="A235" s="1" t="str">
        <f t="shared" si="1"/>
        <v>25261</v>
      </c>
      <c r="B235" s="1">
        <v>25.0</v>
      </c>
      <c r="C235" s="1" t="s">
        <v>447</v>
      </c>
      <c r="D235" s="1">
        <v>1.0</v>
      </c>
      <c r="E235" s="11">
        <v>0.24583333333333332</v>
      </c>
      <c r="F235" s="1">
        <v>453.0</v>
      </c>
      <c r="G235" s="1">
        <v>201.0</v>
      </c>
      <c r="H235" s="1">
        <v>261.0</v>
      </c>
    </row>
    <row r="236">
      <c r="A236" s="1" t="str">
        <f t="shared" si="1"/>
        <v>26261</v>
      </c>
      <c r="B236" s="1">
        <v>26.0</v>
      </c>
      <c r="C236" s="1" t="s">
        <v>445</v>
      </c>
      <c r="D236" s="1">
        <v>1.0</v>
      </c>
      <c r="E236" s="11">
        <v>0.24583333333333332</v>
      </c>
      <c r="F236" s="1">
        <v>100.0</v>
      </c>
      <c r="G236" s="1">
        <v>49.0</v>
      </c>
      <c r="H236" s="1">
        <v>261.0</v>
      </c>
    </row>
    <row r="237">
      <c r="A237" s="1" t="str">
        <f t="shared" si="1"/>
        <v>27261</v>
      </c>
      <c r="B237" s="1">
        <v>27.0</v>
      </c>
      <c r="C237" s="1" t="s">
        <v>446</v>
      </c>
      <c r="D237" s="1">
        <v>1.0</v>
      </c>
      <c r="E237" s="11">
        <v>0.25833333333333336</v>
      </c>
      <c r="F237" s="1">
        <v>136.0</v>
      </c>
      <c r="G237" s="1">
        <v>153.0</v>
      </c>
      <c r="H237" s="1">
        <v>261.0</v>
      </c>
    </row>
    <row r="238">
      <c r="A238" s="1" t="str">
        <f t="shared" si="1"/>
        <v>28261</v>
      </c>
      <c r="B238" s="1">
        <v>28.0</v>
      </c>
      <c r="C238" s="1" t="s">
        <v>447</v>
      </c>
      <c r="D238" s="1">
        <v>1.0</v>
      </c>
      <c r="E238" s="11">
        <v>0.26319444444444445</v>
      </c>
      <c r="F238" s="1">
        <v>47.0</v>
      </c>
      <c r="G238" s="1">
        <v>135.0</v>
      </c>
      <c r="H238" s="1">
        <v>261.0</v>
      </c>
    </row>
    <row r="239">
      <c r="A239" s="1" t="str">
        <f t="shared" si="1"/>
        <v>29261</v>
      </c>
      <c r="B239" s="1">
        <v>29.0</v>
      </c>
      <c r="C239" s="1" t="s">
        <v>447</v>
      </c>
      <c r="D239" s="1">
        <v>1.0</v>
      </c>
      <c r="E239" s="11">
        <v>0.26319444444444445</v>
      </c>
      <c r="F239" s="1">
        <v>56.0</v>
      </c>
      <c r="G239" s="1">
        <v>135.0</v>
      </c>
      <c r="H239" s="1">
        <v>261.0</v>
      </c>
    </row>
    <row r="240">
      <c r="A240" s="1" t="str">
        <f t="shared" si="1"/>
        <v>30261</v>
      </c>
      <c r="B240" s="1">
        <v>30.0</v>
      </c>
      <c r="C240" s="1" t="s">
        <v>445</v>
      </c>
      <c r="D240" s="1">
        <v>1.0</v>
      </c>
      <c r="E240" s="11">
        <v>0.26319444444444445</v>
      </c>
      <c r="F240" s="1">
        <v>143.0</v>
      </c>
      <c r="G240" s="1">
        <v>94.0</v>
      </c>
      <c r="H240" s="1">
        <v>261.0</v>
      </c>
    </row>
    <row r="241">
      <c r="A241" s="1" t="str">
        <f t="shared" si="1"/>
        <v>31261</v>
      </c>
      <c r="B241" s="1">
        <v>31.0</v>
      </c>
      <c r="C241" s="1" t="s">
        <v>449</v>
      </c>
      <c r="D241" s="1">
        <v>1.0</v>
      </c>
      <c r="E241" s="11">
        <v>0.28541666666666665</v>
      </c>
      <c r="F241" s="1">
        <v>445.0</v>
      </c>
      <c r="G241" s="1">
        <v>293.0</v>
      </c>
      <c r="H241" s="1">
        <v>261.0</v>
      </c>
    </row>
    <row r="242">
      <c r="A242" s="1" t="str">
        <f t="shared" si="1"/>
        <v>32261</v>
      </c>
      <c r="B242" s="1">
        <v>32.0</v>
      </c>
      <c r="C242" s="1" t="s">
        <v>447</v>
      </c>
      <c r="D242" s="1">
        <v>1.0</v>
      </c>
      <c r="E242" s="11">
        <v>0.29097222222222224</v>
      </c>
      <c r="F242" s="1">
        <v>93.0</v>
      </c>
      <c r="G242" s="1">
        <v>99.0</v>
      </c>
      <c r="H242" s="1">
        <v>261.0</v>
      </c>
    </row>
    <row r="243">
      <c r="A243" s="1" t="str">
        <f t="shared" si="1"/>
        <v>33261</v>
      </c>
      <c r="B243" s="1">
        <v>33.0</v>
      </c>
      <c r="C243" s="1" t="s">
        <v>447</v>
      </c>
      <c r="D243" s="1">
        <v>1.0</v>
      </c>
      <c r="E243" s="11">
        <v>0.3</v>
      </c>
      <c r="F243" s="1">
        <v>217.0</v>
      </c>
      <c r="G243" s="1">
        <v>48.0</v>
      </c>
      <c r="H243" s="1">
        <v>261.0</v>
      </c>
    </row>
    <row r="244">
      <c r="A244" s="1" t="str">
        <f t="shared" si="1"/>
        <v>34261</v>
      </c>
      <c r="B244" s="1">
        <v>34.0</v>
      </c>
      <c r="C244" s="1" t="s">
        <v>445</v>
      </c>
      <c r="D244" s="1">
        <v>1.0</v>
      </c>
      <c r="E244" s="11">
        <v>0.30069444444444443</v>
      </c>
      <c r="F244" s="1">
        <v>143.0</v>
      </c>
      <c r="G244" s="1">
        <v>94.0</v>
      </c>
      <c r="H244" s="1">
        <v>261.0</v>
      </c>
    </row>
    <row r="245">
      <c r="A245" s="1" t="str">
        <f t="shared" si="1"/>
        <v>35261</v>
      </c>
      <c r="B245" s="1">
        <v>35.0</v>
      </c>
      <c r="C245" s="1" t="s">
        <v>445</v>
      </c>
      <c r="D245" s="1">
        <v>1.0</v>
      </c>
      <c r="E245" s="11">
        <v>0.30972222222222223</v>
      </c>
      <c r="F245" s="1">
        <v>143.0</v>
      </c>
      <c r="G245" s="1">
        <v>251.0</v>
      </c>
      <c r="H245" s="1">
        <v>261.0</v>
      </c>
    </row>
    <row r="246">
      <c r="A246" s="1" t="str">
        <f t="shared" si="1"/>
        <v>36261</v>
      </c>
      <c r="B246" s="1">
        <v>36.0</v>
      </c>
      <c r="C246" s="1" t="s">
        <v>445</v>
      </c>
      <c r="D246" s="1">
        <v>1.0</v>
      </c>
      <c r="E246" s="11">
        <v>0.31666666666666665</v>
      </c>
      <c r="F246" s="1">
        <v>247.0</v>
      </c>
      <c r="G246" s="1">
        <v>73.0</v>
      </c>
      <c r="H246" s="1">
        <v>261.0</v>
      </c>
    </row>
    <row r="247">
      <c r="A247" s="1" t="str">
        <f t="shared" si="1"/>
        <v>37261</v>
      </c>
      <c r="B247" s="1">
        <v>37.0</v>
      </c>
      <c r="C247" s="1" t="s">
        <v>446</v>
      </c>
      <c r="D247" s="1">
        <v>1.0</v>
      </c>
      <c r="E247" s="11">
        <v>0.34652777777777777</v>
      </c>
      <c r="F247" s="1">
        <v>430.0</v>
      </c>
      <c r="G247" s="1">
        <v>185.0</v>
      </c>
      <c r="H247" s="1">
        <v>261.0</v>
      </c>
    </row>
    <row r="248">
      <c r="A248" s="1" t="str">
        <f t="shared" si="1"/>
        <v>38261</v>
      </c>
      <c r="B248" s="1">
        <v>38.0</v>
      </c>
      <c r="C248" s="1" t="s">
        <v>446</v>
      </c>
      <c r="D248" s="1">
        <v>1.0</v>
      </c>
      <c r="E248" s="11">
        <v>0.34652777777777777</v>
      </c>
      <c r="F248" s="1">
        <v>455.0</v>
      </c>
      <c r="G248" s="1">
        <v>237.0</v>
      </c>
      <c r="H248" s="1">
        <v>261.0</v>
      </c>
    </row>
    <row r="249">
      <c r="A249" s="1" t="str">
        <f t="shared" si="1"/>
        <v>39261</v>
      </c>
      <c r="B249" s="1">
        <v>39.0</v>
      </c>
      <c r="C249" s="1" t="s">
        <v>447</v>
      </c>
      <c r="D249" s="1">
        <v>1.0</v>
      </c>
      <c r="E249" s="11">
        <v>0.3548611111111111</v>
      </c>
      <c r="F249" s="1">
        <v>60.0</v>
      </c>
      <c r="G249" s="1">
        <v>197.0</v>
      </c>
      <c r="H249" s="1">
        <v>261.0</v>
      </c>
    </row>
    <row r="250">
      <c r="A250" s="1" t="str">
        <f t="shared" si="1"/>
        <v>40261</v>
      </c>
      <c r="B250" s="1">
        <v>40.0</v>
      </c>
      <c r="C250" s="1" t="s">
        <v>447</v>
      </c>
      <c r="D250" s="1">
        <v>1.0</v>
      </c>
      <c r="E250" s="11">
        <v>0.36041666666666666</v>
      </c>
      <c r="F250" s="1">
        <v>206.0</v>
      </c>
      <c r="G250" s="1">
        <v>57.0</v>
      </c>
      <c r="H250" s="1">
        <v>261.0</v>
      </c>
    </row>
    <row r="251">
      <c r="A251" s="1" t="str">
        <f t="shared" si="1"/>
        <v>41261</v>
      </c>
      <c r="B251" s="1">
        <v>41.0</v>
      </c>
      <c r="C251" s="1" t="s">
        <v>445</v>
      </c>
      <c r="D251" s="1">
        <v>1.0</v>
      </c>
      <c r="E251" s="11">
        <v>0.36041666666666666</v>
      </c>
      <c r="F251" s="1">
        <v>300.0</v>
      </c>
      <c r="G251" s="1">
        <v>150.0</v>
      </c>
      <c r="H251" s="1">
        <v>261.0</v>
      </c>
    </row>
    <row r="252">
      <c r="A252" s="1" t="str">
        <f t="shared" si="1"/>
        <v>42261</v>
      </c>
      <c r="B252" s="1">
        <v>42.0</v>
      </c>
      <c r="C252" s="1" t="s">
        <v>449</v>
      </c>
      <c r="D252" s="1">
        <v>1.0</v>
      </c>
      <c r="E252" s="11">
        <v>0.375</v>
      </c>
      <c r="F252" s="1">
        <v>408.0</v>
      </c>
      <c r="G252" s="1">
        <v>166.0</v>
      </c>
      <c r="H252" s="1">
        <v>261.0</v>
      </c>
    </row>
    <row r="253">
      <c r="A253" s="1" t="str">
        <f t="shared" si="1"/>
        <v>43261</v>
      </c>
      <c r="B253" s="1">
        <v>43.0</v>
      </c>
      <c r="C253" s="1" t="s">
        <v>447</v>
      </c>
      <c r="D253" s="1">
        <v>1.0</v>
      </c>
      <c r="E253" s="11">
        <v>0.38333333333333336</v>
      </c>
      <c r="F253" s="1">
        <v>440.0</v>
      </c>
      <c r="G253" s="1">
        <v>56.0</v>
      </c>
      <c r="H253" s="1">
        <v>261.0</v>
      </c>
    </row>
    <row r="254">
      <c r="A254" s="1" t="str">
        <f t="shared" si="1"/>
        <v>44261</v>
      </c>
      <c r="B254" s="1">
        <v>44.0</v>
      </c>
      <c r="C254" s="1" t="s">
        <v>445</v>
      </c>
      <c r="D254" s="1">
        <v>1.0</v>
      </c>
      <c r="E254" s="11">
        <v>0.38333333333333336</v>
      </c>
      <c r="F254" s="1">
        <v>500.0</v>
      </c>
      <c r="G254" s="1">
        <v>94.0</v>
      </c>
      <c r="H254" s="1">
        <v>261.0</v>
      </c>
    </row>
    <row r="255">
      <c r="A255" s="1" t="str">
        <f t="shared" si="1"/>
        <v>45261</v>
      </c>
      <c r="B255" s="1">
        <v>45.0</v>
      </c>
      <c r="C255" s="1" t="s">
        <v>448</v>
      </c>
      <c r="D255" s="1">
        <v>1.0</v>
      </c>
      <c r="E255" s="11">
        <v>0.40069444444444446</v>
      </c>
      <c r="F255" s="1"/>
      <c r="G255" s="1"/>
      <c r="H255" s="1">
        <v>261.0</v>
      </c>
    </row>
    <row r="256">
      <c r="A256" s="1" t="str">
        <f t="shared" si="1"/>
        <v>46261</v>
      </c>
      <c r="B256" s="1">
        <v>46.0</v>
      </c>
      <c r="C256" s="1" t="s">
        <v>445</v>
      </c>
      <c r="D256" s="1">
        <v>1.0</v>
      </c>
      <c r="E256" s="11">
        <v>0.40069444444444446</v>
      </c>
      <c r="F256" s="1">
        <v>143.0</v>
      </c>
      <c r="G256" s="1">
        <v>251.0</v>
      </c>
      <c r="H256" s="1">
        <v>261.0</v>
      </c>
    </row>
    <row r="257">
      <c r="A257" s="1" t="str">
        <f t="shared" si="1"/>
        <v>47261</v>
      </c>
      <c r="B257" s="1">
        <v>47.0</v>
      </c>
      <c r="C257" s="1" t="s">
        <v>447</v>
      </c>
      <c r="D257" s="1">
        <v>1.0</v>
      </c>
      <c r="E257" s="11">
        <v>0.4111111111111111</v>
      </c>
      <c r="F257" s="1">
        <v>48.0</v>
      </c>
      <c r="G257" s="1">
        <v>178.0</v>
      </c>
      <c r="H257" s="1">
        <v>261.0</v>
      </c>
    </row>
    <row r="258">
      <c r="A258" s="1" t="str">
        <f t="shared" si="1"/>
        <v>48261</v>
      </c>
      <c r="B258" s="1">
        <v>48.0</v>
      </c>
      <c r="C258" s="1" t="s">
        <v>450</v>
      </c>
      <c r="D258" s="1">
        <v>1.0</v>
      </c>
      <c r="E258" s="11">
        <v>0.4111111111111111</v>
      </c>
      <c r="F258" s="1">
        <v>48.0</v>
      </c>
      <c r="G258" s="1">
        <v>178.0</v>
      </c>
      <c r="H258" s="1">
        <v>261.0</v>
      </c>
    </row>
    <row r="259">
      <c r="A259" s="1" t="str">
        <f t="shared" si="1"/>
        <v>49261</v>
      </c>
      <c r="B259" s="1">
        <v>49.0</v>
      </c>
      <c r="C259" s="1" t="s">
        <v>445</v>
      </c>
      <c r="D259" s="1">
        <v>1.0</v>
      </c>
      <c r="E259" s="11">
        <v>0.4111111111111111</v>
      </c>
      <c r="F259" s="1">
        <v>300.0</v>
      </c>
      <c r="G259" s="1">
        <v>150.0</v>
      </c>
      <c r="H259" s="1">
        <v>261.0</v>
      </c>
    </row>
    <row r="260">
      <c r="A260" s="1" t="str">
        <f t="shared" si="1"/>
        <v>50261</v>
      </c>
      <c r="B260" s="1">
        <v>50.0</v>
      </c>
      <c r="C260" s="1" t="s">
        <v>449</v>
      </c>
      <c r="D260" s="1">
        <v>1.0</v>
      </c>
      <c r="E260" s="11">
        <v>0.43125</v>
      </c>
      <c r="F260" s="1">
        <v>476.0</v>
      </c>
      <c r="G260" s="1">
        <v>291.0</v>
      </c>
      <c r="H260" s="1">
        <v>261.0</v>
      </c>
    </row>
    <row r="261">
      <c r="A261" s="1" t="str">
        <f t="shared" si="1"/>
        <v>51261</v>
      </c>
      <c r="B261" s="1">
        <v>51.0</v>
      </c>
      <c r="C261" s="1" t="s">
        <v>446</v>
      </c>
      <c r="D261" s="1">
        <v>1.0</v>
      </c>
      <c r="E261" s="11">
        <v>0.45416666666666666</v>
      </c>
      <c r="F261" s="1">
        <v>70.0</v>
      </c>
      <c r="G261" s="1">
        <v>99.0</v>
      </c>
      <c r="H261" s="1">
        <v>261.0</v>
      </c>
    </row>
    <row r="262">
      <c r="A262" s="1" t="str">
        <f t="shared" si="1"/>
        <v>52261</v>
      </c>
      <c r="B262" s="1">
        <v>52.0</v>
      </c>
      <c r="C262" s="1" t="s">
        <v>445</v>
      </c>
      <c r="D262" s="1">
        <v>1.0</v>
      </c>
      <c r="E262" s="11">
        <v>0.4576388888888889</v>
      </c>
      <c r="F262" s="1">
        <v>500.0</v>
      </c>
      <c r="G262" s="1">
        <v>251.0</v>
      </c>
      <c r="H262" s="1">
        <v>261.0</v>
      </c>
    </row>
    <row r="263">
      <c r="A263" s="1" t="str">
        <f t="shared" si="1"/>
        <v>53261</v>
      </c>
      <c r="B263" s="1">
        <v>53.0</v>
      </c>
      <c r="C263" s="1" t="s">
        <v>446</v>
      </c>
      <c r="D263" s="1">
        <v>1.0</v>
      </c>
      <c r="E263" s="11">
        <v>0.4951388888888889</v>
      </c>
      <c r="F263" s="1">
        <v>424.0</v>
      </c>
      <c r="G263" s="1">
        <v>148.0</v>
      </c>
      <c r="H263" s="1">
        <v>261.0</v>
      </c>
    </row>
    <row r="264">
      <c r="A264" s="1" t="str">
        <f t="shared" si="1"/>
        <v>54261</v>
      </c>
      <c r="B264" s="1">
        <v>54.0</v>
      </c>
      <c r="C264" s="1" t="s">
        <v>446</v>
      </c>
      <c r="D264" s="1">
        <v>1.0</v>
      </c>
      <c r="E264" s="11">
        <v>0.5034722222222222</v>
      </c>
      <c r="F264" s="1">
        <v>440.0</v>
      </c>
      <c r="G264" s="1">
        <v>243.0</v>
      </c>
      <c r="H264" s="1">
        <v>261.0</v>
      </c>
    </row>
    <row r="265">
      <c r="A265" s="1" t="str">
        <f t="shared" si="1"/>
        <v>55261</v>
      </c>
      <c r="B265" s="1">
        <v>55.0</v>
      </c>
      <c r="C265" s="1" t="s">
        <v>447</v>
      </c>
      <c r="D265" s="1">
        <v>1.0</v>
      </c>
      <c r="E265" s="11">
        <v>0.5229166666666667</v>
      </c>
      <c r="F265" s="1">
        <v>525.0</v>
      </c>
      <c r="G265" s="1">
        <v>170.0</v>
      </c>
      <c r="H265" s="1">
        <v>261.0</v>
      </c>
    </row>
    <row r="266">
      <c r="A266" s="1" t="str">
        <f t="shared" si="1"/>
        <v>56261</v>
      </c>
      <c r="B266" s="1">
        <v>56.0</v>
      </c>
      <c r="C266" s="1" t="s">
        <v>446</v>
      </c>
      <c r="D266" s="1">
        <v>1.0</v>
      </c>
      <c r="E266" s="11">
        <v>0.5520833333333334</v>
      </c>
      <c r="F266" s="1">
        <v>453.0</v>
      </c>
      <c r="G266" s="1">
        <v>117.0</v>
      </c>
      <c r="H266" s="1">
        <v>261.0</v>
      </c>
    </row>
    <row r="267">
      <c r="A267" s="1" t="str">
        <f t="shared" si="1"/>
        <v>57261</v>
      </c>
      <c r="B267" s="1">
        <v>57.0</v>
      </c>
      <c r="C267" s="1" t="s">
        <v>447</v>
      </c>
      <c r="D267" s="1">
        <v>1.0</v>
      </c>
      <c r="E267" s="11">
        <v>0.5756944444444444</v>
      </c>
      <c r="F267" s="1">
        <v>39.0</v>
      </c>
      <c r="G267" s="1">
        <v>165.0</v>
      </c>
      <c r="H267" s="1">
        <v>261.0</v>
      </c>
    </row>
    <row r="268">
      <c r="A268" s="1" t="str">
        <f t="shared" si="1"/>
        <v>58261</v>
      </c>
      <c r="B268" s="1">
        <v>58.0</v>
      </c>
      <c r="C268" s="1" t="s">
        <v>450</v>
      </c>
      <c r="D268" s="1">
        <v>1.0</v>
      </c>
      <c r="E268" s="11">
        <v>0.5756944444444444</v>
      </c>
      <c r="F268" s="1">
        <v>39.0</v>
      </c>
      <c r="G268" s="1">
        <v>165.0</v>
      </c>
      <c r="H268" s="1">
        <v>261.0</v>
      </c>
    </row>
    <row r="269">
      <c r="A269" s="1" t="str">
        <f t="shared" si="1"/>
        <v>59261</v>
      </c>
      <c r="B269" s="1">
        <v>59.0</v>
      </c>
      <c r="C269" s="1" t="s">
        <v>445</v>
      </c>
      <c r="D269" s="1">
        <v>1.0</v>
      </c>
      <c r="E269" s="11">
        <v>0.5756944444444444</v>
      </c>
      <c r="F269" s="1">
        <v>300.0</v>
      </c>
      <c r="G269" s="1">
        <v>150.0</v>
      </c>
      <c r="H269" s="1">
        <v>261.0</v>
      </c>
    </row>
    <row r="270">
      <c r="A270" s="1" t="str">
        <f t="shared" si="1"/>
        <v>60261</v>
      </c>
      <c r="B270" s="1">
        <v>60.0</v>
      </c>
      <c r="C270" s="1" t="s">
        <v>449</v>
      </c>
      <c r="D270" s="1">
        <v>1.0</v>
      </c>
      <c r="E270" s="11">
        <v>0.5868055555555556</v>
      </c>
      <c r="F270" s="1">
        <v>585.0</v>
      </c>
      <c r="G270" s="1">
        <v>243.0</v>
      </c>
      <c r="H270" s="1">
        <v>261.0</v>
      </c>
    </row>
    <row r="271">
      <c r="A271" s="1" t="str">
        <f t="shared" si="1"/>
        <v>61261</v>
      </c>
      <c r="B271" s="1">
        <v>61.0</v>
      </c>
      <c r="C271" s="1" t="s">
        <v>445</v>
      </c>
      <c r="D271" s="1">
        <v>1.0</v>
      </c>
      <c r="E271" s="11">
        <v>0.6111111111111112</v>
      </c>
      <c r="F271" s="1">
        <v>247.0</v>
      </c>
      <c r="G271" s="1">
        <v>273.0</v>
      </c>
      <c r="H271" s="1">
        <v>261.0</v>
      </c>
    </row>
    <row r="272">
      <c r="A272" s="1" t="str">
        <f t="shared" si="1"/>
        <v>62261</v>
      </c>
      <c r="B272" s="1">
        <v>62.0</v>
      </c>
      <c r="C272" s="1" t="s">
        <v>445</v>
      </c>
      <c r="D272" s="1">
        <v>1.0</v>
      </c>
      <c r="E272" s="11">
        <v>0.6673611111111111</v>
      </c>
      <c r="F272" s="1">
        <v>143.0</v>
      </c>
      <c r="G272" s="1">
        <v>94.0</v>
      </c>
      <c r="H272" s="1">
        <v>261.0</v>
      </c>
    </row>
    <row r="273">
      <c r="A273" s="1" t="str">
        <f t="shared" si="1"/>
        <v>63261</v>
      </c>
      <c r="B273" s="1">
        <v>63.0</v>
      </c>
      <c r="C273" s="1" t="s">
        <v>446</v>
      </c>
      <c r="D273" s="1">
        <v>1.0</v>
      </c>
      <c r="E273" s="11">
        <v>0.6743055555555556</v>
      </c>
      <c r="F273" s="1">
        <v>205.0</v>
      </c>
      <c r="G273" s="1">
        <v>11.0</v>
      </c>
      <c r="H273" s="1">
        <v>261.0</v>
      </c>
    </row>
    <row r="274">
      <c r="A274" s="1" t="str">
        <f t="shared" si="1"/>
        <v>64261</v>
      </c>
      <c r="B274" s="1">
        <v>64.0</v>
      </c>
      <c r="C274" s="1" t="s">
        <v>445</v>
      </c>
      <c r="D274" s="1">
        <v>1.0</v>
      </c>
      <c r="E274" s="11">
        <v>0.675</v>
      </c>
      <c r="F274" s="1">
        <v>143.0</v>
      </c>
      <c r="G274" s="1">
        <v>94.0</v>
      </c>
      <c r="H274" s="1">
        <v>261.0</v>
      </c>
    </row>
    <row r="275">
      <c r="A275" s="1" t="str">
        <f t="shared" si="1"/>
        <v>65261</v>
      </c>
      <c r="B275" s="1">
        <v>65.0</v>
      </c>
      <c r="C275" s="1" t="s">
        <v>447</v>
      </c>
      <c r="D275" s="1">
        <v>1.0</v>
      </c>
      <c r="E275" s="11">
        <v>0.7159722222222222</v>
      </c>
      <c r="F275" s="1">
        <v>542.0</v>
      </c>
      <c r="G275" s="1">
        <v>134.0</v>
      </c>
      <c r="H275" s="1">
        <v>261.0</v>
      </c>
    </row>
    <row r="276">
      <c r="A276" s="1" t="str">
        <f t="shared" si="1"/>
        <v>66261</v>
      </c>
      <c r="B276" s="1">
        <v>66.0</v>
      </c>
      <c r="C276" s="1" t="s">
        <v>446</v>
      </c>
      <c r="D276" s="1">
        <v>1.0</v>
      </c>
      <c r="E276" s="11">
        <v>0.7222222222222222</v>
      </c>
      <c r="F276" s="1">
        <v>400.0</v>
      </c>
      <c r="G276" s="1">
        <v>211.0</v>
      </c>
      <c r="H276" s="1">
        <v>261.0</v>
      </c>
    </row>
    <row r="277">
      <c r="A277" s="1" t="str">
        <f t="shared" si="1"/>
        <v>67261</v>
      </c>
      <c r="B277" s="1">
        <v>67.0</v>
      </c>
      <c r="C277" s="1" t="s">
        <v>447</v>
      </c>
      <c r="D277" s="1">
        <v>1.0</v>
      </c>
      <c r="E277" s="11">
        <v>0.7347222222222223</v>
      </c>
      <c r="F277" s="1">
        <v>81.0</v>
      </c>
      <c r="G277" s="1">
        <v>131.0</v>
      </c>
      <c r="H277" s="1">
        <v>261.0</v>
      </c>
    </row>
    <row r="278">
      <c r="A278" s="1" t="str">
        <f t="shared" si="1"/>
        <v>68261</v>
      </c>
      <c r="B278" s="1">
        <v>68.0</v>
      </c>
      <c r="C278" s="1" t="s">
        <v>447</v>
      </c>
      <c r="D278" s="1">
        <v>1.0</v>
      </c>
      <c r="E278" s="11">
        <v>0.7444444444444445</v>
      </c>
      <c r="F278" s="1">
        <v>88.0</v>
      </c>
      <c r="G278" s="1">
        <v>202.0</v>
      </c>
      <c r="H278" s="1">
        <v>261.0</v>
      </c>
    </row>
    <row r="279">
      <c r="A279" s="1" t="str">
        <f t="shared" si="1"/>
        <v>69261</v>
      </c>
      <c r="B279" s="1">
        <v>69.0</v>
      </c>
      <c r="C279" s="1" t="s">
        <v>445</v>
      </c>
      <c r="D279" s="1">
        <v>1.0</v>
      </c>
      <c r="E279" s="11">
        <v>0.7458333333333333</v>
      </c>
      <c r="F279" s="1">
        <v>143.0</v>
      </c>
      <c r="G279" s="1">
        <v>251.0</v>
      </c>
      <c r="H279" s="1">
        <v>261.0</v>
      </c>
    </row>
    <row r="280">
      <c r="A280" s="1" t="str">
        <f t="shared" si="1"/>
        <v>70261</v>
      </c>
      <c r="B280" s="1">
        <v>70.0</v>
      </c>
      <c r="C280" s="1" t="s">
        <v>447</v>
      </c>
      <c r="D280" s="1">
        <v>1.0</v>
      </c>
      <c r="E280" s="11">
        <v>0.78125</v>
      </c>
      <c r="F280" s="1">
        <v>501.0</v>
      </c>
      <c r="G280" s="1">
        <v>91.0</v>
      </c>
      <c r="H280" s="1">
        <v>261.0</v>
      </c>
    </row>
    <row r="281">
      <c r="A281" s="1" t="str">
        <f t="shared" si="1"/>
        <v>71261</v>
      </c>
      <c r="B281" s="1">
        <v>71.0</v>
      </c>
      <c r="C281" s="1" t="s">
        <v>447</v>
      </c>
      <c r="D281" s="1">
        <v>1.0</v>
      </c>
      <c r="E281" s="11">
        <v>0.8076388888888889</v>
      </c>
      <c r="F281" s="1">
        <v>83.0</v>
      </c>
      <c r="G281" s="1">
        <v>127.0</v>
      </c>
      <c r="H281" s="1">
        <v>261.0</v>
      </c>
    </row>
    <row r="282">
      <c r="A282" s="1" t="str">
        <f t="shared" si="1"/>
        <v>72261</v>
      </c>
      <c r="B282" s="1">
        <v>72.0</v>
      </c>
      <c r="C282" s="1" t="s">
        <v>445</v>
      </c>
      <c r="D282" s="1">
        <v>1.0</v>
      </c>
      <c r="E282" s="11">
        <v>0.8083333333333333</v>
      </c>
      <c r="F282" s="1">
        <v>143.0</v>
      </c>
      <c r="G282" s="1">
        <v>94.0</v>
      </c>
      <c r="H282" s="1">
        <v>261.0</v>
      </c>
    </row>
    <row r="283">
      <c r="A283" s="1" t="str">
        <f t="shared" si="1"/>
        <v>73261</v>
      </c>
      <c r="B283" s="1">
        <v>73.0</v>
      </c>
      <c r="C283" s="1" t="s">
        <v>446</v>
      </c>
      <c r="D283" s="1">
        <v>1.0</v>
      </c>
      <c r="E283" s="11">
        <v>0.8222222222222222</v>
      </c>
      <c r="F283" s="1">
        <v>378.0</v>
      </c>
      <c r="G283" s="1">
        <v>205.0</v>
      </c>
      <c r="H283" s="1">
        <v>261.0</v>
      </c>
    </row>
    <row r="284">
      <c r="A284" s="1" t="str">
        <f t="shared" si="1"/>
        <v>74261</v>
      </c>
      <c r="B284" s="1">
        <v>74.0</v>
      </c>
      <c r="C284" s="1" t="s">
        <v>445</v>
      </c>
      <c r="D284" s="1">
        <v>2.0</v>
      </c>
      <c r="E284" s="11">
        <v>0.0</v>
      </c>
      <c r="F284" s="1">
        <v>300.0</v>
      </c>
      <c r="G284" s="1">
        <v>150.0</v>
      </c>
      <c r="H284" s="1">
        <v>261.0</v>
      </c>
    </row>
    <row r="285">
      <c r="A285" s="1" t="str">
        <f t="shared" si="1"/>
        <v>75261</v>
      </c>
      <c r="B285" s="1">
        <v>75.0</v>
      </c>
      <c r="C285" s="1" t="s">
        <v>445</v>
      </c>
      <c r="D285" s="1">
        <v>2.0</v>
      </c>
      <c r="E285" s="11">
        <v>0.021527777777777778</v>
      </c>
      <c r="F285" s="1">
        <v>300.0</v>
      </c>
      <c r="G285" s="1">
        <v>150.0</v>
      </c>
      <c r="H285" s="1">
        <v>261.0</v>
      </c>
    </row>
    <row r="286">
      <c r="A286" s="1" t="str">
        <f t="shared" si="1"/>
        <v>76261</v>
      </c>
      <c r="B286" s="1">
        <v>76.0</v>
      </c>
      <c r="C286" s="1" t="s">
        <v>447</v>
      </c>
      <c r="D286" s="1">
        <v>2.0</v>
      </c>
      <c r="E286" s="11">
        <v>0.02361111111111111</v>
      </c>
      <c r="F286" s="1">
        <v>175.0</v>
      </c>
      <c r="G286" s="1">
        <v>5.0</v>
      </c>
      <c r="H286" s="1">
        <v>261.0</v>
      </c>
    </row>
    <row r="287">
      <c r="A287" s="1" t="str">
        <f t="shared" si="1"/>
        <v>77261</v>
      </c>
      <c r="B287" s="1">
        <v>77.0</v>
      </c>
      <c r="C287" s="1" t="s">
        <v>447</v>
      </c>
      <c r="D287" s="1">
        <v>2.0</v>
      </c>
      <c r="E287" s="11">
        <v>0.0625</v>
      </c>
      <c r="F287" s="1">
        <v>454.0</v>
      </c>
      <c r="G287" s="1">
        <v>194.0</v>
      </c>
      <c r="H287" s="1">
        <v>261.0</v>
      </c>
    </row>
    <row r="288">
      <c r="A288" s="1" t="str">
        <f t="shared" si="1"/>
        <v>78261</v>
      </c>
      <c r="B288" s="1">
        <v>78.0</v>
      </c>
      <c r="C288" s="1" t="s">
        <v>447</v>
      </c>
      <c r="D288" s="1">
        <v>2.0</v>
      </c>
      <c r="E288" s="11">
        <v>0.06805555555555555</v>
      </c>
      <c r="F288" s="1">
        <v>417.0</v>
      </c>
      <c r="G288" s="1">
        <v>96.0</v>
      </c>
      <c r="H288" s="1">
        <v>261.0</v>
      </c>
    </row>
    <row r="289">
      <c r="A289" s="1" t="str">
        <f t="shared" si="1"/>
        <v>79261</v>
      </c>
      <c r="B289" s="1">
        <v>79.0</v>
      </c>
      <c r="C289" s="1" t="s">
        <v>447</v>
      </c>
      <c r="D289" s="1">
        <v>2.0</v>
      </c>
      <c r="E289" s="11">
        <v>0.07083333333333333</v>
      </c>
      <c r="F289" s="1">
        <v>537.0</v>
      </c>
      <c r="G289" s="1">
        <v>195.0</v>
      </c>
      <c r="H289" s="1">
        <v>261.0</v>
      </c>
    </row>
    <row r="290">
      <c r="A290" s="1" t="str">
        <f t="shared" si="1"/>
        <v>80261</v>
      </c>
      <c r="B290" s="1">
        <v>80.0</v>
      </c>
      <c r="C290" s="1" t="s">
        <v>445</v>
      </c>
      <c r="D290" s="1">
        <v>2.0</v>
      </c>
      <c r="E290" s="11">
        <v>0.07222222222222222</v>
      </c>
      <c r="F290" s="1">
        <v>457.0</v>
      </c>
      <c r="G290" s="1">
        <v>206.0</v>
      </c>
      <c r="H290" s="1">
        <v>261.0</v>
      </c>
    </row>
    <row r="291">
      <c r="A291" s="1" t="str">
        <f t="shared" si="1"/>
        <v>81261</v>
      </c>
      <c r="B291" s="1">
        <v>81.0</v>
      </c>
      <c r="C291" s="1" t="s">
        <v>446</v>
      </c>
      <c r="D291" s="1">
        <v>2.0</v>
      </c>
      <c r="E291" s="11">
        <v>0.07430555555555556</v>
      </c>
      <c r="F291" s="1">
        <v>462.0</v>
      </c>
      <c r="G291" s="1">
        <v>188.0</v>
      </c>
      <c r="H291" s="1">
        <v>261.0</v>
      </c>
    </row>
    <row r="292">
      <c r="A292" s="1" t="str">
        <f t="shared" si="1"/>
        <v>82261</v>
      </c>
      <c r="B292" s="1">
        <v>82.0</v>
      </c>
      <c r="C292" s="1" t="s">
        <v>445</v>
      </c>
      <c r="D292" s="1">
        <v>2.0</v>
      </c>
      <c r="E292" s="11">
        <v>0.12361111111111112</v>
      </c>
      <c r="F292" s="1">
        <v>300.0</v>
      </c>
      <c r="G292" s="1">
        <v>150.0</v>
      </c>
      <c r="H292" s="1">
        <v>261.0</v>
      </c>
    </row>
    <row r="293">
      <c r="A293" s="1" t="str">
        <f t="shared" si="1"/>
        <v>83261</v>
      </c>
      <c r="B293" s="1">
        <v>83.0</v>
      </c>
      <c r="C293" s="1" t="s">
        <v>446</v>
      </c>
      <c r="D293" s="1">
        <v>2.0</v>
      </c>
      <c r="E293" s="11">
        <v>0.1388888888888889</v>
      </c>
      <c r="F293" s="1">
        <v>522.0</v>
      </c>
      <c r="G293" s="1">
        <v>210.0</v>
      </c>
      <c r="H293" s="1">
        <v>261.0</v>
      </c>
    </row>
    <row r="294">
      <c r="A294" s="1" t="str">
        <f t="shared" si="1"/>
        <v>84261</v>
      </c>
      <c r="B294" s="1">
        <v>84.0</v>
      </c>
      <c r="C294" s="1" t="s">
        <v>445</v>
      </c>
      <c r="D294" s="1">
        <v>2.0</v>
      </c>
      <c r="E294" s="11">
        <v>0.15069444444444444</v>
      </c>
      <c r="F294" s="1">
        <v>300.0</v>
      </c>
      <c r="G294" s="1">
        <v>150.0</v>
      </c>
      <c r="H294" s="1">
        <v>261.0</v>
      </c>
    </row>
    <row r="295">
      <c r="A295" s="1" t="str">
        <f t="shared" si="1"/>
        <v>85261</v>
      </c>
      <c r="B295" s="1">
        <v>85.0</v>
      </c>
      <c r="C295" s="1" t="s">
        <v>449</v>
      </c>
      <c r="D295" s="1">
        <v>2.0</v>
      </c>
      <c r="E295" s="11">
        <v>0.175</v>
      </c>
      <c r="F295" s="1">
        <v>357.0</v>
      </c>
      <c r="G295" s="1">
        <v>288.0</v>
      </c>
      <c r="H295" s="1">
        <v>261.0</v>
      </c>
    </row>
    <row r="296">
      <c r="A296" s="1" t="str">
        <f t="shared" si="1"/>
        <v>86261</v>
      </c>
      <c r="B296" s="1">
        <v>86.0</v>
      </c>
      <c r="C296" s="1" t="s">
        <v>447</v>
      </c>
      <c r="D296" s="1">
        <v>2.0</v>
      </c>
      <c r="E296" s="11">
        <v>0.17708333333333334</v>
      </c>
      <c r="F296" s="1">
        <v>45.0</v>
      </c>
      <c r="G296" s="1">
        <v>103.0</v>
      </c>
      <c r="H296" s="1">
        <v>261.0</v>
      </c>
    </row>
    <row r="297">
      <c r="A297" s="1" t="str">
        <f t="shared" si="1"/>
        <v>87261</v>
      </c>
      <c r="B297" s="1">
        <v>87.0</v>
      </c>
      <c r="C297" s="1" t="s">
        <v>445</v>
      </c>
      <c r="D297" s="1">
        <v>2.0</v>
      </c>
      <c r="E297" s="11">
        <v>0.17777777777777778</v>
      </c>
      <c r="F297" s="1">
        <v>100.0</v>
      </c>
      <c r="G297" s="1">
        <v>49.0</v>
      </c>
      <c r="H297" s="1">
        <v>261.0</v>
      </c>
    </row>
    <row r="298">
      <c r="A298" s="1" t="str">
        <f t="shared" si="1"/>
        <v>88261</v>
      </c>
      <c r="B298" s="1">
        <v>88.0</v>
      </c>
      <c r="C298" s="1" t="s">
        <v>447</v>
      </c>
      <c r="D298" s="1">
        <v>2.0</v>
      </c>
      <c r="E298" s="11">
        <v>0.18125</v>
      </c>
      <c r="F298" s="1">
        <v>86.0</v>
      </c>
      <c r="G298" s="1">
        <v>143.0</v>
      </c>
      <c r="H298" s="1">
        <v>261.0</v>
      </c>
    </row>
    <row r="299">
      <c r="A299" s="1" t="str">
        <f t="shared" si="1"/>
        <v>89261</v>
      </c>
      <c r="B299" s="1">
        <v>89.0</v>
      </c>
      <c r="C299" s="1" t="s">
        <v>450</v>
      </c>
      <c r="D299" s="1">
        <v>2.0</v>
      </c>
      <c r="E299" s="11">
        <v>0.18125</v>
      </c>
      <c r="F299" s="1">
        <v>86.0</v>
      </c>
      <c r="G299" s="1">
        <v>143.0</v>
      </c>
      <c r="H299" s="1">
        <v>261.0</v>
      </c>
    </row>
    <row r="300">
      <c r="A300" s="1" t="str">
        <f t="shared" si="1"/>
        <v>90261</v>
      </c>
      <c r="B300" s="1">
        <v>90.0</v>
      </c>
      <c r="C300" s="1" t="s">
        <v>445</v>
      </c>
      <c r="D300" s="1">
        <v>2.0</v>
      </c>
      <c r="E300" s="11">
        <v>0.18125</v>
      </c>
      <c r="F300" s="1">
        <v>300.0</v>
      </c>
      <c r="G300" s="1">
        <v>150.0</v>
      </c>
      <c r="H300" s="1">
        <v>261.0</v>
      </c>
    </row>
    <row r="301">
      <c r="A301" s="1" t="str">
        <f t="shared" si="1"/>
        <v>91261</v>
      </c>
      <c r="B301" s="1">
        <v>91.0</v>
      </c>
      <c r="C301" s="1" t="s">
        <v>449</v>
      </c>
      <c r="D301" s="1">
        <v>2.0</v>
      </c>
      <c r="E301" s="11">
        <v>0.18263888888888888</v>
      </c>
      <c r="F301" s="1">
        <v>276.0</v>
      </c>
      <c r="G301" s="1">
        <v>9.0</v>
      </c>
      <c r="H301" s="1">
        <v>261.0</v>
      </c>
    </row>
    <row r="302">
      <c r="A302" s="1" t="str">
        <f t="shared" si="1"/>
        <v>92261</v>
      </c>
      <c r="B302" s="1">
        <v>92.0</v>
      </c>
      <c r="C302" s="1" t="s">
        <v>447</v>
      </c>
      <c r="D302" s="1">
        <v>2.0</v>
      </c>
      <c r="E302" s="11">
        <v>0.1986111111111111</v>
      </c>
      <c r="F302" s="1">
        <v>70.0</v>
      </c>
      <c r="G302" s="1">
        <v>177.0</v>
      </c>
      <c r="H302" s="1">
        <v>261.0</v>
      </c>
    </row>
    <row r="303">
      <c r="A303" s="1" t="str">
        <f t="shared" si="1"/>
        <v>93261</v>
      </c>
      <c r="B303" s="1">
        <v>93.0</v>
      </c>
      <c r="C303" s="1" t="s">
        <v>447</v>
      </c>
      <c r="D303" s="1">
        <v>2.0</v>
      </c>
      <c r="E303" s="11">
        <v>0.1986111111111111</v>
      </c>
      <c r="F303" s="1">
        <v>51.0</v>
      </c>
      <c r="G303" s="1">
        <v>164.0</v>
      </c>
      <c r="H303" s="1">
        <v>261.0</v>
      </c>
    </row>
    <row r="304">
      <c r="A304" s="1" t="str">
        <f t="shared" si="1"/>
        <v>94261</v>
      </c>
      <c r="B304" s="1">
        <v>94.0</v>
      </c>
      <c r="C304" s="1" t="s">
        <v>445</v>
      </c>
      <c r="D304" s="1">
        <v>2.0</v>
      </c>
      <c r="E304" s="11">
        <v>0.1986111111111111</v>
      </c>
      <c r="F304" s="1">
        <v>100.0</v>
      </c>
      <c r="G304" s="1">
        <v>206.0</v>
      </c>
      <c r="H304" s="1">
        <v>261.0</v>
      </c>
    </row>
    <row r="305">
      <c r="A305" s="1" t="str">
        <f t="shared" si="1"/>
        <v>95261</v>
      </c>
      <c r="B305" s="1">
        <v>95.0</v>
      </c>
      <c r="C305" s="1" t="s">
        <v>447</v>
      </c>
      <c r="D305" s="1">
        <v>2.0</v>
      </c>
      <c r="E305" s="11">
        <v>0.23333333333333334</v>
      </c>
      <c r="F305" s="1">
        <v>210.0</v>
      </c>
      <c r="G305" s="1">
        <v>214.0</v>
      </c>
      <c r="H305" s="1">
        <v>261.0</v>
      </c>
    </row>
    <row r="306">
      <c r="A306" s="1" t="str">
        <f t="shared" si="1"/>
        <v>96261</v>
      </c>
      <c r="B306" s="1">
        <v>96.0</v>
      </c>
      <c r="C306" s="1" t="s">
        <v>447</v>
      </c>
      <c r="D306" s="1">
        <v>2.0</v>
      </c>
      <c r="E306" s="11">
        <v>0.24097222222222223</v>
      </c>
      <c r="F306" s="1">
        <v>454.0</v>
      </c>
      <c r="G306" s="1">
        <v>233.0</v>
      </c>
      <c r="H306" s="1">
        <v>261.0</v>
      </c>
    </row>
    <row r="307">
      <c r="A307" s="1" t="str">
        <f t="shared" si="1"/>
        <v>97261</v>
      </c>
      <c r="B307" s="1">
        <v>97.0</v>
      </c>
      <c r="C307" s="1" t="s">
        <v>445</v>
      </c>
      <c r="D307" s="1">
        <v>2.0</v>
      </c>
      <c r="E307" s="11">
        <v>0.24166666666666667</v>
      </c>
      <c r="F307" s="1">
        <v>457.0</v>
      </c>
      <c r="G307" s="1">
        <v>206.0</v>
      </c>
      <c r="H307" s="1">
        <v>261.0</v>
      </c>
    </row>
    <row r="308">
      <c r="A308" s="1" t="str">
        <f t="shared" si="1"/>
        <v>98261</v>
      </c>
      <c r="B308" s="1">
        <v>98.0</v>
      </c>
      <c r="C308" s="1" t="s">
        <v>449</v>
      </c>
      <c r="D308" s="1">
        <v>2.0</v>
      </c>
      <c r="E308" s="11">
        <v>0.27847222222222223</v>
      </c>
      <c r="F308" s="1">
        <v>301.0</v>
      </c>
      <c r="G308" s="1">
        <v>285.0</v>
      </c>
      <c r="H308" s="1">
        <v>261.0</v>
      </c>
    </row>
    <row r="309">
      <c r="A309" s="1" t="str">
        <f t="shared" si="1"/>
        <v>99261</v>
      </c>
      <c r="B309" s="1">
        <v>99.0</v>
      </c>
      <c r="C309" s="1" t="s">
        <v>447</v>
      </c>
      <c r="D309" s="1">
        <v>2.0</v>
      </c>
      <c r="E309" s="11">
        <v>0.2923611111111111</v>
      </c>
      <c r="F309" s="1">
        <v>140.0</v>
      </c>
      <c r="G309" s="1">
        <v>230.0</v>
      </c>
      <c r="H309" s="1">
        <v>261.0</v>
      </c>
    </row>
    <row r="310">
      <c r="A310" s="1" t="str">
        <f t="shared" si="1"/>
        <v>100261</v>
      </c>
      <c r="B310" s="1">
        <v>100.0</v>
      </c>
      <c r="C310" s="1" t="s">
        <v>445</v>
      </c>
      <c r="D310" s="1">
        <v>2.0</v>
      </c>
      <c r="E310" s="11">
        <v>0.29305555555555557</v>
      </c>
      <c r="F310" s="1">
        <v>100.0</v>
      </c>
      <c r="G310" s="1">
        <v>206.0</v>
      </c>
      <c r="H310" s="1">
        <v>261.0</v>
      </c>
    </row>
    <row r="311">
      <c r="A311" s="1" t="str">
        <f t="shared" si="1"/>
        <v>101261</v>
      </c>
      <c r="B311" s="1">
        <v>101.0</v>
      </c>
      <c r="C311" s="1" t="s">
        <v>447</v>
      </c>
      <c r="D311" s="1">
        <v>2.0</v>
      </c>
      <c r="E311" s="11">
        <v>0.36180555555555555</v>
      </c>
      <c r="F311" s="1">
        <v>493.0</v>
      </c>
      <c r="G311" s="1">
        <v>206.0</v>
      </c>
      <c r="H311" s="1">
        <v>261.0</v>
      </c>
    </row>
    <row r="312">
      <c r="A312" s="1" t="str">
        <f t="shared" si="1"/>
        <v>102261</v>
      </c>
      <c r="B312" s="1">
        <v>102.0</v>
      </c>
      <c r="C312" s="1" t="s">
        <v>448</v>
      </c>
      <c r="D312" s="1">
        <v>2.0</v>
      </c>
      <c r="E312" s="11">
        <v>0.36527777777777776</v>
      </c>
      <c r="F312" s="1"/>
      <c r="G312" s="1"/>
      <c r="H312" s="1">
        <v>261.0</v>
      </c>
    </row>
    <row r="313">
      <c r="A313" s="1" t="str">
        <f t="shared" si="1"/>
        <v>103261</v>
      </c>
      <c r="B313" s="1">
        <v>103.0</v>
      </c>
      <c r="C313" s="1" t="s">
        <v>445</v>
      </c>
      <c r="D313" s="1">
        <v>2.0</v>
      </c>
      <c r="E313" s="11">
        <v>0.3659722222222222</v>
      </c>
      <c r="F313" s="1">
        <v>457.0</v>
      </c>
      <c r="G313" s="1">
        <v>206.0</v>
      </c>
      <c r="H313" s="1">
        <v>261.0</v>
      </c>
    </row>
    <row r="314">
      <c r="A314" s="1" t="str">
        <f t="shared" si="1"/>
        <v>104261</v>
      </c>
      <c r="B314" s="1">
        <v>104.0</v>
      </c>
      <c r="C314" s="1" t="s">
        <v>446</v>
      </c>
      <c r="D314" s="1">
        <v>2.0</v>
      </c>
      <c r="E314" s="11">
        <v>0.3763888888888889</v>
      </c>
      <c r="F314" s="1">
        <v>460.0</v>
      </c>
      <c r="G314" s="1">
        <v>142.0</v>
      </c>
      <c r="H314" s="1">
        <v>261.0</v>
      </c>
    </row>
    <row r="315">
      <c r="A315" s="1" t="str">
        <f t="shared" si="1"/>
        <v>105261</v>
      </c>
      <c r="B315" s="1">
        <v>105.0</v>
      </c>
      <c r="C315" s="1" t="s">
        <v>447</v>
      </c>
      <c r="D315" s="1">
        <v>2.0</v>
      </c>
      <c r="E315" s="11">
        <v>0.3784722222222222</v>
      </c>
      <c r="F315" s="1">
        <v>417.0</v>
      </c>
      <c r="G315" s="1">
        <v>161.0</v>
      </c>
      <c r="H315" s="1">
        <v>261.0</v>
      </c>
    </row>
    <row r="316">
      <c r="A316" s="1" t="str">
        <f t="shared" si="1"/>
        <v>106261</v>
      </c>
      <c r="B316" s="1">
        <v>106.0</v>
      </c>
      <c r="C316" s="1" t="s">
        <v>445</v>
      </c>
      <c r="D316" s="1">
        <v>2.0</v>
      </c>
      <c r="E316" s="11">
        <v>0.3784722222222222</v>
      </c>
      <c r="F316" s="1">
        <v>457.0</v>
      </c>
      <c r="G316" s="1">
        <v>49.0</v>
      </c>
      <c r="H316" s="1">
        <v>261.0</v>
      </c>
    </row>
    <row r="317">
      <c r="A317" s="1" t="str">
        <f t="shared" si="1"/>
        <v>107261</v>
      </c>
      <c r="B317" s="1">
        <v>107.0</v>
      </c>
      <c r="C317" s="1" t="s">
        <v>447</v>
      </c>
      <c r="D317" s="1">
        <v>2.0</v>
      </c>
      <c r="E317" s="11">
        <v>0.4173611111111111</v>
      </c>
      <c r="F317" s="1">
        <v>545.0</v>
      </c>
      <c r="G317" s="1">
        <v>148.0</v>
      </c>
      <c r="H317" s="1">
        <v>261.0</v>
      </c>
    </row>
    <row r="318">
      <c r="A318" s="1" t="str">
        <f t="shared" si="1"/>
        <v>108261</v>
      </c>
      <c r="B318" s="1">
        <v>108.0</v>
      </c>
      <c r="C318" s="1" t="s">
        <v>447</v>
      </c>
      <c r="D318" s="1">
        <v>2.0</v>
      </c>
      <c r="E318" s="11">
        <v>0.42986111111111114</v>
      </c>
      <c r="F318" s="1">
        <v>547.0</v>
      </c>
      <c r="G318" s="1">
        <v>159.0</v>
      </c>
      <c r="H318" s="1">
        <v>261.0</v>
      </c>
    </row>
    <row r="319">
      <c r="A319" s="1" t="str">
        <f t="shared" si="1"/>
        <v>109261</v>
      </c>
      <c r="B319" s="1">
        <v>109.0</v>
      </c>
      <c r="C319" s="1" t="s">
        <v>447</v>
      </c>
      <c r="D319" s="1">
        <v>2.0</v>
      </c>
      <c r="E319" s="11">
        <v>0.4375</v>
      </c>
      <c r="F319" s="1">
        <v>406.0</v>
      </c>
      <c r="G319" s="1">
        <v>153.0</v>
      </c>
      <c r="H319" s="1">
        <v>261.0</v>
      </c>
    </row>
    <row r="320">
      <c r="A320" s="1" t="str">
        <f t="shared" si="1"/>
        <v>110261</v>
      </c>
      <c r="B320" s="1">
        <v>110.0</v>
      </c>
      <c r="C320" s="1" t="s">
        <v>450</v>
      </c>
      <c r="D320" s="1">
        <v>2.0</v>
      </c>
      <c r="E320" s="11">
        <v>0.4375</v>
      </c>
      <c r="F320" s="1">
        <v>406.0</v>
      </c>
      <c r="G320" s="1">
        <v>153.0</v>
      </c>
      <c r="H320" s="1">
        <v>261.0</v>
      </c>
    </row>
    <row r="321">
      <c r="A321" s="1" t="str">
        <f t="shared" si="1"/>
        <v>111261</v>
      </c>
      <c r="B321" s="1">
        <v>111.0</v>
      </c>
      <c r="C321" s="1" t="s">
        <v>445</v>
      </c>
      <c r="D321" s="1">
        <v>2.0</v>
      </c>
      <c r="E321" s="11">
        <v>0.4375</v>
      </c>
      <c r="F321" s="1">
        <v>300.0</v>
      </c>
      <c r="G321" s="1">
        <v>150.0</v>
      </c>
      <c r="H321" s="1">
        <v>261.0</v>
      </c>
    </row>
    <row r="322">
      <c r="A322" s="1" t="str">
        <f t="shared" si="1"/>
        <v>112261</v>
      </c>
      <c r="B322" s="1">
        <v>112.0</v>
      </c>
      <c r="C322" s="1" t="s">
        <v>445</v>
      </c>
      <c r="D322" s="1">
        <v>2.0</v>
      </c>
      <c r="E322" s="11">
        <v>0.44305555555555554</v>
      </c>
      <c r="F322" s="1">
        <v>353.0</v>
      </c>
      <c r="G322" s="1">
        <v>227.0</v>
      </c>
      <c r="H322" s="1">
        <v>261.0</v>
      </c>
    </row>
    <row r="323">
      <c r="A323" s="1" t="str">
        <f t="shared" si="1"/>
        <v>113261</v>
      </c>
      <c r="B323" s="1">
        <v>113.0</v>
      </c>
      <c r="C323" s="1" t="s">
        <v>445</v>
      </c>
      <c r="D323" s="1">
        <v>2.0</v>
      </c>
      <c r="E323" s="11">
        <v>0.46319444444444446</v>
      </c>
      <c r="F323" s="1">
        <v>457.0</v>
      </c>
      <c r="G323" s="1">
        <v>49.0</v>
      </c>
      <c r="H323" s="1">
        <v>261.0</v>
      </c>
    </row>
    <row r="324">
      <c r="A324" s="1" t="str">
        <f t="shared" si="1"/>
        <v>114261</v>
      </c>
      <c r="B324" s="1">
        <v>114.0</v>
      </c>
      <c r="C324" s="1" t="s">
        <v>449</v>
      </c>
      <c r="D324" s="1">
        <v>2.0</v>
      </c>
      <c r="E324" s="11">
        <v>0.4722222222222222</v>
      </c>
      <c r="F324" s="1">
        <v>393.0</v>
      </c>
      <c r="G324" s="1">
        <v>286.0</v>
      </c>
      <c r="H324" s="1">
        <v>261.0</v>
      </c>
    </row>
    <row r="325">
      <c r="A325" s="1" t="str">
        <f t="shared" si="1"/>
        <v>115261</v>
      </c>
      <c r="B325" s="1">
        <v>115.0</v>
      </c>
      <c r="C325" s="1" t="s">
        <v>445</v>
      </c>
      <c r="D325" s="1">
        <v>2.0</v>
      </c>
      <c r="E325" s="11">
        <v>0.49722222222222223</v>
      </c>
      <c r="F325" s="1">
        <v>203.0</v>
      </c>
      <c r="G325" s="1">
        <v>227.0</v>
      </c>
      <c r="H325" s="1">
        <v>261.0</v>
      </c>
    </row>
    <row r="326">
      <c r="A326" s="1" t="str">
        <f t="shared" si="1"/>
        <v>116261</v>
      </c>
      <c r="B326" s="1">
        <v>116.0</v>
      </c>
      <c r="C326" s="1" t="s">
        <v>447</v>
      </c>
      <c r="D326" s="1">
        <v>2.0</v>
      </c>
      <c r="E326" s="11">
        <v>0.5152777777777777</v>
      </c>
      <c r="F326" s="1">
        <v>81.0</v>
      </c>
      <c r="G326" s="1">
        <v>33.0</v>
      </c>
      <c r="H326" s="1">
        <v>261.0</v>
      </c>
    </row>
    <row r="327">
      <c r="A327" s="1" t="str">
        <f t="shared" si="1"/>
        <v>117261</v>
      </c>
      <c r="B327" s="1">
        <v>117.0</v>
      </c>
      <c r="C327" s="1" t="s">
        <v>445</v>
      </c>
      <c r="D327" s="1">
        <v>2.0</v>
      </c>
      <c r="E327" s="11">
        <v>0.5152777777777777</v>
      </c>
      <c r="F327" s="1">
        <v>100.0</v>
      </c>
      <c r="G327" s="1">
        <v>49.0</v>
      </c>
      <c r="H327" s="1">
        <v>261.0</v>
      </c>
    </row>
    <row r="328">
      <c r="A328" s="1" t="str">
        <f t="shared" si="1"/>
        <v>118261</v>
      </c>
      <c r="B328" s="1">
        <v>118.0</v>
      </c>
      <c r="C328" s="1" t="s">
        <v>447</v>
      </c>
      <c r="D328" s="1">
        <v>2.0</v>
      </c>
      <c r="E328" s="11">
        <v>0.5180555555555556</v>
      </c>
      <c r="F328" s="1">
        <v>177.0</v>
      </c>
      <c r="G328" s="1">
        <v>65.0</v>
      </c>
      <c r="H328" s="1">
        <v>261.0</v>
      </c>
    </row>
    <row r="329">
      <c r="A329" s="1" t="str">
        <f t="shared" si="1"/>
        <v>119261</v>
      </c>
      <c r="B329" s="1">
        <v>119.0</v>
      </c>
      <c r="C329" s="1" t="s">
        <v>446</v>
      </c>
      <c r="D329" s="1">
        <v>2.0</v>
      </c>
      <c r="E329" s="11">
        <v>0.5298611111111111</v>
      </c>
      <c r="F329" s="1">
        <v>204.0</v>
      </c>
      <c r="G329" s="1">
        <v>20.0</v>
      </c>
      <c r="H329" s="1">
        <v>261.0</v>
      </c>
    </row>
    <row r="330">
      <c r="A330" s="1" t="str">
        <f t="shared" si="1"/>
        <v>120261</v>
      </c>
      <c r="B330" s="1">
        <v>120.0</v>
      </c>
      <c r="C330" s="1" t="s">
        <v>446</v>
      </c>
      <c r="D330" s="1">
        <v>2.0</v>
      </c>
      <c r="E330" s="11">
        <v>0.5472222222222223</v>
      </c>
      <c r="F330" s="1">
        <v>458.0</v>
      </c>
      <c r="G330" s="1">
        <v>70.0</v>
      </c>
      <c r="H330" s="1">
        <v>261.0</v>
      </c>
    </row>
    <row r="331">
      <c r="A331" s="1" t="str">
        <f t="shared" si="1"/>
        <v>121261</v>
      </c>
      <c r="B331" s="1">
        <v>121.0</v>
      </c>
      <c r="C331" s="1" t="s">
        <v>445</v>
      </c>
      <c r="D331" s="1">
        <v>2.0</v>
      </c>
      <c r="E331" s="11">
        <v>0.5694444444444444</v>
      </c>
      <c r="F331" s="1">
        <v>300.0</v>
      </c>
      <c r="G331" s="1">
        <v>150.0</v>
      </c>
      <c r="H331" s="1">
        <v>261.0</v>
      </c>
    </row>
    <row r="332">
      <c r="A332" s="1" t="str">
        <f t="shared" si="1"/>
        <v>122261</v>
      </c>
      <c r="B332" s="1">
        <v>122.0</v>
      </c>
      <c r="C332" s="1" t="s">
        <v>446</v>
      </c>
      <c r="D332" s="1">
        <v>2.0</v>
      </c>
      <c r="E332" s="11">
        <v>0.5729166666666666</v>
      </c>
      <c r="F332" s="1">
        <v>392.0</v>
      </c>
      <c r="G332" s="1">
        <v>109.0</v>
      </c>
      <c r="H332" s="1">
        <v>261.0</v>
      </c>
    </row>
    <row r="333">
      <c r="A333" s="1" t="str">
        <f t="shared" si="1"/>
        <v>123261</v>
      </c>
      <c r="B333" s="1">
        <v>123.0</v>
      </c>
      <c r="C333" s="1" t="s">
        <v>446</v>
      </c>
      <c r="D333" s="1">
        <v>2.0</v>
      </c>
      <c r="E333" s="11">
        <v>0.5756944444444444</v>
      </c>
      <c r="F333" s="1">
        <v>508.0</v>
      </c>
      <c r="G333" s="1">
        <v>147.0</v>
      </c>
      <c r="H333" s="1">
        <v>261.0</v>
      </c>
    </row>
    <row r="334">
      <c r="A334" s="1" t="str">
        <f t="shared" si="1"/>
        <v>124261</v>
      </c>
      <c r="B334" s="1">
        <v>124.0</v>
      </c>
      <c r="C334" s="1" t="s">
        <v>447</v>
      </c>
      <c r="D334" s="1">
        <v>2.0</v>
      </c>
      <c r="E334" s="11">
        <v>0.5909722222222222</v>
      </c>
      <c r="F334" s="1">
        <v>384.0</v>
      </c>
      <c r="G334" s="1">
        <v>249.0</v>
      </c>
      <c r="H334" s="1">
        <v>261.0</v>
      </c>
    </row>
    <row r="335">
      <c r="A335" s="1" t="str">
        <f t="shared" si="1"/>
        <v>125261</v>
      </c>
      <c r="B335" s="1">
        <v>125.0</v>
      </c>
      <c r="C335" s="1" t="s">
        <v>446</v>
      </c>
      <c r="D335" s="1">
        <v>2.0</v>
      </c>
      <c r="E335" s="11">
        <v>0.5916666666666667</v>
      </c>
      <c r="F335" s="1">
        <v>537.0</v>
      </c>
      <c r="G335" s="1">
        <v>160.0</v>
      </c>
      <c r="H335" s="1">
        <v>261.0</v>
      </c>
    </row>
    <row r="336">
      <c r="A336" s="1" t="str">
        <f t="shared" si="1"/>
        <v>126261</v>
      </c>
      <c r="B336" s="1">
        <v>126.0</v>
      </c>
      <c r="C336" s="1" t="s">
        <v>447</v>
      </c>
      <c r="D336" s="1">
        <v>2.0</v>
      </c>
      <c r="E336" s="11">
        <v>0.5923611111111111</v>
      </c>
      <c r="F336" s="1">
        <v>550.0</v>
      </c>
      <c r="G336" s="1">
        <v>163.0</v>
      </c>
      <c r="H336" s="1">
        <v>261.0</v>
      </c>
    </row>
    <row r="337">
      <c r="A337" s="1" t="str">
        <f t="shared" si="1"/>
        <v>127261</v>
      </c>
      <c r="B337" s="1">
        <v>127.0</v>
      </c>
      <c r="C337" s="1" t="s">
        <v>445</v>
      </c>
      <c r="D337" s="1">
        <v>2.0</v>
      </c>
      <c r="E337" s="11">
        <v>0.5930555555555556</v>
      </c>
      <c r="F337" s="1">
        <v>457.0</v>
      </c>
      <c r="G337" s="1">
        <v>206.0</v>
      </c>
      <c r="H337" s="1">
        <v>261.0</v>
      </c>
    </row>
    <row r="338">
      <c r="A338" s="1" t="str">
        <f t="shared" si="1"/>
        <v>128261</v>
      </c>
      <c r="B338" s="1">
        <v>128.0</v>
      </c>
      <c r="C338" s="1" t="s">
        <v>449</v>
      </c>
      <c r="D338" s="1">
        <v>2.0</v>
      </c>
      <c r="E338" s="11">
        <v>0.60625</v>
      </c>
      <c r="F338" s="1">
        <v>199.0</v>
      </c>
      <c r="G338" s="1">
        <v>287.0</v>
      </c>
      <c r="H338" s="1">
        <v>261.0</v>
      </c>
    </row>
    <row r="339">
      <c r="A339" s="1" t="str">
        <f t="shared" si="1"/>
        <v>129261</v>
      </c>
      <c r="B339" s="1">
        <v>129.0</v>
      </c>
      <c r="C339" s="1" t="s">
        <v>448</v>
      </c>
      <c r="D339" s="1">
        <v>2.0</v>
      </c>
      <c r="E339" s="11">
        <v>0.6395833333333333</v>
      </c>
      <c r="F339" s="1"/>
      <c r="G339" s="1"/>
      <c r="H339" s="1">
        <v>261.0</v>
      </c>
    </row>
    <row r="340">
      <c r="A340" s="1" t="str">
        <f t="shared" si="1"/>
        <v>130261</v>
      </c>
      <c r="B340" s="1">
        <v>130.0</v>
      </c>
      <c r="C340" s="1" t="s">
        <v>445</v>
      </c>
      <c r="D340" s="1">
        <v>2.0</v>
      </c>
      <c r="E340" s="11">
        <v>0.6402777777777777</v>
      </c>
      <c r="F340" s="1">
        <v>100.0</v>
      </c>
      <c r="G340" s="1">
        <v>49.0</v>
      </c>
      <c r="H340" s="1">
        <v>261.0</v>
      </c>
    </row>
    <row r="341">
      <c r="A341" s="1" t="str">
        <f t="shared" si="1"/>
        <v>131261</v>
      </c>
      <c r="B341" s="1">
        <v>131.0</v>
      </c>
      <c r="C341" s="1" t="s">
        <v>447</v>
      </c>
      <c r="D341" s="1">
        <v>2.0</v>
      </c>
      <c r="E341" s="11">
        <v>0.65</v>
      </c>
      <c r="F341" s="1">
        <v>153.0</v>
      </c>
      <c r="G341" s="1">
        <v>224.0</v>
      </c>
      <c r="H341" s="1">
        <v>261.0</v>
      </c>
    </row>
    <row r="342">
      <c r="A342" s="1" t="str">
        <f t="shared" si="1"/>
        <v>132261</v>
      </c>
      <c r="B342" s="1">
        <v>132.0</v>
      </c>
      <c r="C342" s="1" t="s">
        <v>446</v>
      </c>
      <c r="D342" s="1">
        <v>2.0</v>
      </c>
      <c r="E342" s="11">
        <v>0.6680555555555555</v>
      </c>
      <c r="F342" s="1">
        <v>182.0</v>
      </c>
      <c r="G342" s="1">
        <v>114.0</v>
      </c>
      <c r="H342" s="1">
        <v>261.0</v>
      </c>
    </row>
    <row r="343">
      <c r="A343" s="1" t="str">
        <f t="shared" si="1"/>
        <v>133261</v>
      </c>
      <c r="B343" s="1">
        <v>133.0</v>
      </c>
      <c r="C343" s="1" t="s">
        <v>447</v>
      </c>
      <c r="D343" s="1">
        <v>2.0</v>
      </c>
      <c r="E343" s="11">
        <v>0.7138888888888889</v>
      </c>
      <c r="F343" s="1">
        <v>149.0</v>
      </c>
      <c r="G343" s="1">
        <v>234.0</v>
      </c>
      <c r="H343" s="1">
        <v>261.0</v>
      </c>
    </row>
    <row r="344">
      <c r="A344" s="1" t="str">
        <f t="shared" si="1"/>
        <v>134261</v>
      </c>
      <c r="B344" s="1">
        <v>134.0</v>
      </c>
      <c r="C344" s="1" t="s">
        <v>447</v>
      </c>
      <c r="D344" s="1">
        <v>2.0</v>
      </c>
      <c r="E344" s="11">
        <v>0.7166666666666667</v>
      </c>
      <c r="F344" s="1">
        <v>49.0</v>
      </c>
      <c r="G344" s="1">
        <v>179.0</v>
      </c>
      <c r="H344" s="1">
        <v>261.0</v>
      </c>
    </row>
    <row r="345">
      <c r="A345" s="1" t="str">
        <f t="shared" si="1"/>
        <v>135261</v>
      </c>
      <c r="B345" s="1">
        <v>135.0</v>
      </c>
      <c r="C345" s="1" t="s">
        <v>446</v>
      </c>
      <c r="D345" s="1">
        <v>2.0</v>
      </c>
      <c r="E345" s="11">
        <v>0.7256944444444444</v>
      </c>
      <c r="F345" s="1">
        <v>90.0</v>
      </c>
      <c r="G345" s="1">
        <v>214.0</v>
      </c>
      <c r="H345" s="1">
        <v>261.0</v>
      </c>
    </row>
    <row r="346">
      <c r="A346" s="1" t="str">
        <f t="shared" si="1"/>
        <v>136261</v>
      </c>
      <c r="B346" s="1">
        <v>136.0</v>
      </c>
      <c r="C346" s="1" t="s">
        <v>447</v>
      </c>
      <c r="D346" s="1">
        <v>2.0</v>
      </c>
      <c r="E346" s="11">
        <v>0.7472222222222222</v>
      </c>
      <c r="F346" s="1">
        <v>100.0</v>
      </c>
      <c r="G346" s="1">
        <v>183.0</v>
      </c>
      <c r="H346" s="1">
        <v>261.0</v>
      </c>
    </row>
    <row r="347">
      <c r="A347" s="1" t="str">
        <f t="shared" si="1"/>
        <v>137261</v>
      </c>
      <c r="B347" s="1">
        <v>137.0</v>
      </c>
      <c r="C347" s="1" t="s">
        <v>445</v>
      </c>
      <c r="D347" s="1">
        <v>2.0</v>
      </c>
      <c r="E347" s="11">
        <v>0.7527777777777778</v>
      </c>
      <c r="F347" s="1">
        <v>203.0</v>
      </c>
      <c r="G347" s="1">
        <v>227.0</v>
      </c>
      <c r="H347" s="1">
        <v>261.0</v>
      </c>
    </row>
    <row r="348">
      <c r="A348" s="1" t="str">
        <f t="shared" si="1"/>
        <v>138261</v>
      </c>
      <c r="B348" s="1">
        <v>138.0</v>
      </c>
      <c r="C348" s="1" t="s">
        <v>445</v>
      </c>
      <c r="D348" s="1">
        <v>2.0</v>
      </c>
      <c r="E348" s="11">
        <v>0.8055555555555556</v>
      </c>
      <c r="F348" s="1">
        <v>100.0</v>
      </c>
      <c r="G348" s="1">
        <v>49.0</v>
      </c>
      <c r="H348" s="1">
        <v>261.0</v>
      </c>
    </row>
    <row r="349">
      <c r="A349" s="1" t="str">
        <f t="shared" si="1"/>
        <v>139261</v>
      </c>
      <c r="B349" s="1">
        <v>139.0</v>
      </c>
      <c r="C349" s="1" t="s">
        <v>446</v>
      </c>
      <c r="D349" s="1">
        <v>2.0</v>
      </c>
      <c r="E349" s="11">
        <v>0.8284722222222223</v>
      </c>
      <c r="F349" s="1">
        <v>191.0</v>
      </c>
      <c r="G349" s="1">
        <v>196.0</v>
      </c>
      <c r="H349" s="1">
        <v>261.0</v>
      </c>
    </row>
    <row r="350">
      <c r="A350" s="1" t="str">
        <f t="shared" si="1"/>
        <v>140261</v>
      </c>
      <c r="B350" s="1">
        <v>140.0</v>
      </c>
      <c r="C350" s="1" t="s">
        <v>445</v>
      </c>
      <c r="D350" s="1">
        <v>3.0</v>
      </c>
      <c r="E350" s="11">
        <v>0.0</v>
      </c>
      <c r="F350" s="1">
        <v>300.0</v>
      </c>
      <c r="G350" s="1">
        <v>150.0</v>
      </c>
      <c r="H350" s="1">
        <v>261.0</v>
      </c>
    </row>
    <row r="351">
      <c r="A351" s="1" t="str">
        <f t="shared" si="1"/>
        <v>141261</v>
      </c>
      <c r="B351" s="1">
        <v>141.0</v>
      </c>
      <c r="C351" s="1" t="s">
        <v>445</v>
      </c>
      <c r="D351" s="1">
        <v>3.0</v>
      </c>
      <c r="E351" s="11">
        <v>0.027083333333333334</v>
      </c>
      <c r="F351" s="1">
        <v>247.0</v>
      </c>
      <c r="G351" s="1">
        <v>73.0</v>
      </c>
      <c r="H351" s="1">
        <v>261.0</v>
      </c>
    </row>
    <row r="352">
      <c r="A352" s="1" t="str">
        <f t="shared" si="1"/>
        <v>142261</v>
      </c>
      <c r="B352" s="1">
        <v>142.0</v>
      </c>
      <c r="C352" s="1" t="s">
        <v>447</v>
      </c>
      <c r="D352" s="1">
        <v>3.0</v>
      </c>
      <c r="E352" s="11">
        <v>0.03819444444444445</v>
      </c>
      <c r="F352" s="1">
        <v>502.0</v>
      </c>
      <c r="G352" s="1">
        <v>207.0</v>
      </c>
      <c r="H352" s="1">
        <v>261.0</v>
      </c>
    </row>
    <row r="353">
      <c r="A353" s="1" t="str">
        <f t="shared" si="1"/>
        <v>143261</v>
      </c>
      <c r="B353" s="1">
        <v>143.0</v>
      </c>
      <c r="C353" s="1" t="s">
        <v>445</v>
      </c>
      <c r="D353" s="1">
        <v>3.0</v>
      </c>
      <c r="E353" s="11">
        <v>0.03888888888888889</v>
      </c>
      <c r="F353" s="1">
        <v>500.0</v>
      </c>
      <c r="G353" s="1">
        <v>251.0</v>
      </c>
      <c r="H353" s="1">
        <v>261.0</v>
      </c>
    </row>
    <row r="354">
      <c r="A354" s="1" t="str">
        <f t="shared" si="1"/>
        <v>144261</v>
      </c>
      <c r="B354" s="1">
        <v>144.0</v>
      </c>
      <c r="C354" s="1" t="s">
        <v>447</v>
      </c>
      <c r="D354" s="1">
        <v>3.0</v>
      </c>
      <c r="E354" s="11">
        <v>0.04583333333333333</v>
      </c>
      <c r="F354" s="1">
        <v>457.0</v>
      </c>
      <c r="G354" s="1">
        <v>237.0</v>
      </c>
      <c r="H354" s="1">
        <v>261.0</v>
      </c>
    </row>
    <row r="355">
      <c r="A355" s="1" t="str">
        <f t="shared" si="1"/>
        <v>145261</v>
      </c>
      <c r="B355" s="1">
        <v>145.0</v>
      </c>
      <c r="C355" s="1" t="s">
        <v>448</v>
      </c>
      <c r="D355" s="1">
        <v>3.0</v>
      </c>
      <c r="E355" s="11">
        <v>0.07291666666666667</v>
      </c>
      <c r="F355" s="1"/>
      <c r="G355" s="1"/>
      <c r="H355" s="1">
        <v>261.0</v>
      </c>
    </row>
    <row r="356">
      <c r="A356" s="1" t="str">
        <f t="shared" si="1"/>
        <v>146261</v>
      </c>
      <c r="B356" s="1">
        <v>146.0</v>
      </c>
      <c r="C356" s="1" t="s">
        <v>445</v>
      </c>
      <c r="D356" s="1">
        <v>3.0</v>
      </c>
      <c r="E356" s="11">
        <v>0.07291666666666667</v>
      </c>
      <c r="F356" s="1">
        <v>500.0</v>
      </c>
      <c r="G356" s="1">
        <v>251.0</v>
      </c>
      <c r="H356" s="1">
        <v>261.0</v>
      </c>
    </row>
    <row r="357">
      <c r="A357" s="1" t="str">
        <f t="shared" si="1"/>
        <v>147261</v>
      </c>
      <c r="B357" s="1">
        <v>147.0</v>
      </c>
      <c r="C357" s="1" t="s">
        <v>446</v>
      </c>
      <c r="D357" s="1">
        <v>3.0</v>
      </c>
      <c r="E357" s="11">
        <v>0.08819444444444445</v>
      </c>
      <c r="F357" s="1">
        <v>399.0</v>
      </c>
      <c r="G357" s="1">
        <v>182.0</v>
      </c>
      <c r="H357" s="1">
        <v>261.0</v>
      </c>
    </row>
    <row r="358">
      <c r="A358" s="1" t="str">
        <f t="shared" si="1"/>
        <v>148261</v>
      </c>
      <c r="B358" s="1">
        <v>148.0</v>
      </c>
      <c r="C358" s="1" t="s">
        <v>447</v>
      </c>
      <c r="D358" s="1">
        <v>3.0</v>
      </c>
      <c r="E358" s="11">
        <v>0.10277777777777777</v>
      </c>
      <c r="F358" s="1">
        <v>108.0</v>
      </c>
      <c r="G358" s="1">
        <v>164.0</v>
      </c>
      <c r="H358" s="1">
        <v>261.0</v>
      </c>
    </row>
    <row r="359">
      <c r="A359" s="1" t="str">
        <f t="shared" si="1"/>
        <v>149261</v>
      </c>
      <c r="B359" s="1">
        <v>149.0</v>
      </c>
      <c r="C359" s="1" t="s">
        <v>450</v>
      </c>
      <c r="D359" s="1">
        <v>3.0</v>
      </c>
      <c r="E359" s="11">
        <v>0.10277777777777777</v>
      </c>
      <c r="F359" s="1">
        <v>108.0</v>
      </c>
      <c r="G359" s="1">
        <v>164.0</v>
      </c>
      <c r="H359" s="1">
        <v>261.0</v>
      </c>
    </row>
    <row r="360">
      <c r="A360" s="1" t="str">
        <f t="shared" si="1"/>
        <v>150261</v>
      </c>
      <c r="B360" s="1">
        <v>150.0</v>
      </c>
      <c r="C360" s="1" t="s">
        <v>445</v>
      </c>
      <c r="D360" s="1">
        <v>3.0</v>
      </c>
      <c r="E360" s="11">
        <v>0.10277777777777777</v>
      </c>
      <c r="F360" s="1">
        <v>300.0</v>
      </c>
      <c r="G360" s="1">
        <v>150.0</v>
      </c>
      <c r="H360" s="1">
        <v>261.0</v>
      </c>
    </row>
    <row r="361">
      <c r="A361" s="1" t="str">
        <f t="shared" si="1"/>
        <v>151261</v>
      </c>
      <c r="B361" s="1">
        <v>151.0</v>
      </c>
      <c r="C361" s="1" t="s">
        <v>449</v>
      </c>
      <c r="D361" s="1">
        <v>3.0</v>
      </c>
      <c r="E361" s="11">
        <v>0.11180555555555556</v>
      </c>
      <c r="F361" s="1">
        <v>296.0</v>
      </c>
      <c r="G361" s="1">
        <v>291.0</v>
      </c>
      <c r="H361" s="1">
        <v>261.0</v>
      </c>
    </row>
    <row r="362">
      <c r="A362" s="1" t="str">
        <f t="shared" si="1"/>
        <v>152261</v>
      </c>
      <c r="B362" s="1">
        <v>152.0</v>
      </c>
      <c r="C362" s="1" t="s">
        <v>447</v>
      </c>
      <c r="D362" s="1">
        <v>3.0</v>
      </c>
      <c r="E362" s="11">
        <v>0.13402777777777777</v>
      </c>
      <c r="F362" s="1">
        <v>175.0</v>
      </c>
      <c r="G362" s="1">
        <v>120.0</v>
      </c>
      <c r="H362" s="1">
        <v>261.0</v>
      </c>
    </row>
    <row r="363">
      <c r="A363" s="1" t="str">
        <f t="shared" si="1"/>
        <v>153261</v>
      </c>
      <c r="B363" s="1">
        <v>153.0</v>
      </c>
      <c r="C363" s="1" t="s">
        <v>448</v>
      </c>
      <c r="D363" s="1">
        <v>3.0</v>
      </c>
      <c r="E363" s="11">
        <v>0.15347222222222223</v>
      </c>
      <c r="F363" s="1"/>
      <c r="G363" s="1"/>
      <c r="H363" s="1">
        <v>261.0</v>
      </c>
    </row>
    <row r="364">
      <c r="A364" s="1" t="str">
        <f t="shared" si="1"/>
        <v>154261</v>
      </c>
      <c r="B364" s="1">
        <v>154.0</v>
      </c>
      <c r="C364" s="1" t="s">
        <v>448</v>
      </c>
      <c r="D364" s="1">
        <v>3.0</v>
      </c>
      <c r="E364" s="11">
        <v>0.15347222222222223</v>
      </c>
      <c r="F364" s="1"/>
      <c r="G364" s="1"/>
      <c r="H364" s="1">
        <v>261.0</v>
      </c>
    </row>
    <row r="365">
      <c r="A365" s="1" t="str">
        <f t="shared" si="1"/>
        <v>155261</v>
      </c>
      <c r="B365" s="1">
        <v>155.0</v>
      </c>
      <c r="C365" s="1" t="s">
        <v>445</v>
      </c>
      <c r="D365" s="1">
        <v>3.0</v>
      </c>
      <c r="E365" s="11">
        <v>0.15416666666666667</v>
      </c>
      <c r="F365" s="1">
        <v>247.0</v>
      </c>
      <c r="G365" s="1">
        <v>273.0</v>
      </c>
      <c r="H365" s="1">
        <v>261.0</v>
      </c>
    </row>
    <row r="366">
      <c r="A366" s="1" t="str">
        <f t="shared" si="1"/>
        <v>156261</v>
      </c>
      <c r="B366" s="1">
        <v>156.0</v>
      </c>
      <c r="C366" s="1" t="s">
        <v>445</v>
      </c>
      <c r="D366" s="1">
        <v>3.0</v>
      </c>
      <c r="E366" s="11">
        <v>0.16111111111111112</v>
      </c>
      <c r="F366" s="1">
        <v>143.0</v>
      </c>
      <c r="G366" s="1">
        <v>251.0</v>
      </c>
      <c r="H366" s="1">
        <v>261.0</v>
      </c>
    </row>
    <row r="367">
      <c r="A367" s="1" t="str">
        <f t="shared" si="1"/>
        <v>157261</v>
      </c>
      <c r="B367" s="1">
        <v>157.0</v>
      </c>
      <c r="C367" s="1" t="s">
        <v>446</v>
      </c>
      <c r="D367" s="1">
        <v>3.0</v>
      </c>
      <c r="E367" s="11">
        <v>0.16944444444444445</v>
      </c>
      <c r="F367" s="1">
        <v>150.0</v>
      </c>
      <c r="G367" s="1">
        <v>146.0</v>
      </c>
      <c r="H367" s="1">
        <v>261.0</v>
      </c>
    </row>
    <row r="368">
      <c r="A368" s="1" t="str">
        <f t="shared" si="1"/>
        <v>158261</v>
      </c>
      <c r="B368" s="1">
        <v>158.0</v>
      </c>
      <c r="C368" s="1" t="s">
        <v>447</v>
      </c>
      <c r="D368" s="1">
        <v>3.0</v>
      </c>
      <c r="E368" s="11">
        <v>0.20277777777777778</v>
      </c>
      <c r="F368" s="1">
        <v>363.0</v>
      </c>
      <c r="G368" s="1">
        <v>152.0</v>
      </c>
      <c r="H368" s="1">
        <v>261.0</v>
      </c>
    </row>
    <row r="369">
      <c r="A369" s="1" t="str">
        <f t="shared" si="1"/>
        <v>159261</v>
      </c>
      <c r="B369" s="1">
        <v>159.0</v>
      </c>
      <c r="C369" s="1" t="s">
        <v>445</v>
      </c>
      <c r="D369" s="1">
        <v>3.0</v>
      </c>
      <c r="E369" s="11">
        <v>0.20347222222222222</v>
      </c>
      <c r="F369" s="1">
        <v>500.0</v>
      </c>
      <c r="G369" s="1">
        <v>251.0</v>
      </c>
      <c r="H369" s="1">
        <v>261.0</v>
      </c>
    </row>
    <row r="370">
      <c r="A370" s="1" t="str">
        <f t="shared" si="1"/>
        <v>160261</v>
      </c>
      <c r="B370" s="1">
        <v>160.0</v>
      </c>
      <c r="C370" s="1" t="s">
        <v>447</v>
      </c>
      <c r="D370" s="1">
        <v>3.0</v>
      </c>
      <c r="E370" s="11">
        <v>0.2263888888888889</v>
      </c>
      <c r="F370" s="1">
        <v>93.0</v>
      </c>
      <c r="G370" s="1">
        <v>161.0</v>
      </c>
      <c r="H370" s="1">
        <v>261.0</v>
      </c>
    </row>
    <row r="371">
      <c r="A371" s="1" t="str">
        <f t="shared" si="1"/>
        <v>161261</v>
      </c>
      <c r="B371" s="1">
        <v>161.0</v>
      </c>
      <c r="C371" s="1" t="s">
        <v>450</v>
      </c>
      <c r="D371" s="1">
        <v>3.0</v>
      </c>
      <c r="E371" s="11">
        <v>0.2263888888888889</v>
      </c>
      <c r="F371" s="1">
        <v>93.0</v>
      </c>
      <c r="G371" s="1">
        <v>161.0</v>
      </c>
      <c r="H371" s="1">
        <v>261.0</v>
      </c>
    </row>
    <row r="372">
      <c r="A372" s="1" t="str">
        <f t="shared" si="1"/>
        <v>162261</v>
      </c>
      <c r="B372" s="1">
        <v>162.0</v>
      </c>
      <c r="C372" s="1" t="s">
        <v>445</v>
      </c>
      <c r="D372" s="1">
        <v>3.0</v>
      </c>
      <c r="E372" s="11">
        <v>0.2263888888888889</v>
      </c>
      <c r="F372" s="1">
        <v>300.0</v>
      </c>
      <c r="G372" s="1">
        <v>150.0</v>
      </c>
      <c r="H372" s="1">
        <v>261.0</v>
      </c>
    </row>
    <row r="373">
      <c r="A373" s="1" t="str">
        <f t="shared" si="1"/>
        <v>163261</v>
      </c>
      <c r="B373" s="1">
        <v>163.0</v>
      </c>
      <c r="C373" s="1" t="s">
        <v>445</v>
      </c>
      <c r="D373" s="1">
        <v>3.0</v>
      </c>
      <c r="E373" s="11">
        <v>0.2326388888888889</v>
      </c>
      <c r="F373" s="1">
        <v>247.0</v>
      </c>
      <c r="G373" s="1">
        <v>273.0</v>
      </c>
      <c r="H373" s="1">
        <v>261.0</v>
      </c>
    </row>
    <row r="374">
      <c r="A374" s="1" t="str">
        <f t="shared" si="1"/>
        <v>164261</v>
      </c>
      <c r="B374" s="1">
        <v>164.0</v>
      </c>
      <c r="C374" s="1" t="s">
        <v>447</v>
      </c>
      <c r="D374" s="1">
        <v>3.0</v>
      </c>
      <c r="E374" s="11">
        <v>0.24583333333333332</v>
      </c>
      <c r="F374" s="1">
        <v>488.0</v>
      </c>
      <c r="G374" s="1">
        <v>186.0</v>
      </c>
      <c r="H374" s="1">
        <v>261.0</v>
      </c>
    </row>
    <row r="375">
      <c r="A375" s="1" t="str">
        <f t="shared" si="1"/>
        <v>165261</v>
      </c>
      <c r="B375" s="1">
        <v>165.0</v>
      </c>
      <c r="C375" s="1" t="s">
        <v>449</v>
      </c>
      <c r="D375" s="1">
        <v>3.0</v>
      </c>
      <c r="E375" s="11">
        <v>0.25</v>
      </c>
      <c r="F375" s="1">
        <v>588.0</v>
      </c>
      <c r="G375" s="1">
        <v>105.0</v>
      </c>
      <c r="H375" s="1">
        <v>261.0</v>
      </c>
    </row>
    <row r="376">
      <c r="A376" s="1" t="str">
        <f t="shared" si="1"/>
        <v>166261</v>
      </c>
      <c r="B376" s="1">
        <v>166.0</v>
      </c>
      <c r="C376" s="1" t="s">
        <v>447</v>
      </c>
      <c r="D376" s="1">
        <v>3.0</v>
      </c>
      <c r="E376" s="11">
        <v>0.25416666666666665</v>
      </c>
      <c r="F376" s="1">
        <v>545.0</v>
      </c>
      <c r="G376" s="1">
        <v>137.0</v>
      </c>
      <c r="H376" s="1">
        <v>261.0</v>
      </c>
    </row>
    <row r="377">
      <c r="A377" s="1" t="str">
        <f t="shared" si="1"/>
        <v>167261</v>
      </c>
      <c r="B377" s="1">
        <v>167.0</v>
      </c>
      <c r="C377" s="1" t="s">
        <v>445</v>
      </c>
      <c r="D377" s="1">
        <v>3.0</v>
      </c>
      <c r="E377" s="11">
        <v>0.25555555555555554</v>
      </c>
      <c r="F377" s="1">
        <v>500.0</v>
      </c>
      <c r="G377" s="1">
        <v>94.0</v>
      </c>
      <c r="H377" s="1">
        <v>261.0</v>
      </c>
    </row>
    <row r="378">
      <c r="A378" s="1" t="str">
        <f t="shared" si="1"/>
        <v>168261</v>
      </c>
      <c r="B378" s="1">
        <v>168.0</v>
      </c>
      <c r="C378" s="1" t="s">
        <v>449</v>
      </c>
      <c r="D378" s="1">
        <v>3.0</v>
      </c>
      <c r="E378" s="11">
        <v>0.27708333333333335</v>
      </c>
      <c r="F378" s="1">
        <v>143.0</v>
      </c>
      <c r="G378" s="1">
        <v>17.0</v>
      </c>
      <c r="H378" s="1">
        <v>261.0</v>
      </c>
    </row>
    <row r="379">
      <c r="A379" s="1" t="str">
        <f t="shared" si="1"/>
        <v>169261</v>
      </c>
      <c r="B379" s="1">
        <v>169.0</v>
      </c>
      <c r="C379" s="1" t="s">
        <v>446</v>
      </c>
      <c r="D379" s="1">
        <v>3.0</v>
      </c>
      <c r="E379" s="11">
        <v>0.28055555555555556</v>
      </c>
      <c r="F379" s="1">
        <v>183.0</v>
      </c>
      <c r="G379" s="1">
        <v>252.0</v>
      </c>
      <c r="H379" s="1">
        <v>261.0</v>
      </c>
    </row>
    <row r="380">
      <c r="A380" s="1" t="str">
        <f t="shared" si="1"/>
        <v>170261</v>
      </c>
      <c r="B380" s="1">
        <v>170.0</v>
      </c>
      <c r="C380" s="1" t="s">
        <v>447</v>
      </c>
      <c r="D380" s="1">
        <v>3.0</v>
      </c>
      <c r="E380" s="11">
        <v>0.3138888888888889</v>
      </c>
      <c r="F380" s="1">
        <v>520.0</v>
      </c>
      <c r="G380" s="1">
        <v>103.0</v>
      </c>
      <c r="H380" s="1">
        <v>261.0</v>
      </c>
    </row>
    <row r="381">
      <c r="A381" s="1" t="str">
        <f t="shared" si="1"/>
        <v>171261</v>
      </c>
      <c r="B381" s="1">
        <v>171.0</v>
      </c>
      <c r="C381" s="1" t="s">
        <v>449</v>
      </c>
      <c r="D381" s="1">
        <v>3.0</v>
      </c>
      <c r="E381" s="11">
        <v>0.32430555555555557</v>
      </c>
      <c r="F381" s="1">
        <v>93.0</v>
      </c>
      <c r="G381" s="1">
        <v>54.0</v>
      </c>
      <c r="H381" s="1">
        <v>261.0</v>
      </c>
    </row>
    <row r="382">
      <c r="A382" s="1" t="str">
        <f t="shared" si="1"/>
        <v>172261</v>
      </c>
      <c r="B382" s="1">
        <v>172.0</v>
      </c>
      <c r="C382" s="1" t="s">
        <v>447</v>
      </c>
      <c r="D382" s="1">
        <v>3.0</v>
      </c>
      <c r="E382" s="11">
        <v>0.3402777777777778</v>
      </c>
      <c r="F382" s="1">
        <v>522.0</v>
      </c>
      <c r="G382" s="1">
        <v>150.0</v>
      </c>
      <c r="H382" s="1">
        <v>261.0</v>
      </c>
    </row>
    <row r="383">
      <c r="A383" s="1" t="str">
        <f t="shared" si="1"/>
        <v>173261</v>
      </c>
      <c r="B383" s="1">
        <v>173.0</v>
      </c>
      <c r="C383" s="1" t="s">
        <v>450</v>
      </c>
      <c r="D383" s="1">
        <v>3.0</v>
      </c>
      <c r="E383" s="11">
        <v>0.3402777777777778</v>
      </c>
      <c r="F383" s="1">
        <v>522.0</v>
      </c>
      <c r="G383" s="1">
        <v>150.0</v>
      </c>
      <c r="H383" s="1">
        <v>261.0</v>
      </c>
    </row>
    <row r="384">
      <c r="A384" s="1" t="str">
        <f t="shared" si="1"/>
        <v>174261</v>
      </c>
      <c r="B384" s="1">
        <v>174.0</v>
      </c>
      <c r="C384" s="1" t="s">
        <v>445</v>
      </c>
      <c r="D384" s="1">
        <v>3.0</v>
      </c>
      <c r="E384" s="11">
        <v>0.3402777777777778</v>
      </c>
      <c r="F384" s="1">
        <v>300.0</v>
      </c>
      <c r="G384" s="1">
        <v>150.0</v>
      </c>
      <c r="H384" s="1">
        <v>261.0</v>
      </c>
    </row>
    <row r="385">
      <c r="A385" s="1" t="str">
        <f t="shared" si="1"/>
        <v>175261</v>
      </c>
      <c r="B385" s="1">
        <v>175.0</v>
      </c>
      <c r="C385" s="1" t="s">
        <v>445</v>
      </c>
      <c r="D385" s="1">
        <v>3.0</v>
      </c>
      <c r="E385" s="11">
        <v>0.3638888888888889</v>
      </c>
      <c r="F385" s="1">
        <v>397.0</v>
      </c>
      <c r="G385" s="1">
        <v>273.0</v>
      </c>
      <c r="H385" s="1">
        <v>261.0</v>
      </c>
    </row>
    <row r="386">
      <c r="A386" s="1" t="str">
        <f t="shared" si="1"/>
        <v>176261</v>
      </c>
      <c r="B386" s="1">
        <v>176.0</v>
      </c>
      <c r="C386" s="1" t="s">
        <v>446</v>
      </c>
      <c r="D386" s="1">
        <v>3.0</v>
      </c>
      <c r="E386" s="11">
        <v>0.3923611111111111</v>
      </c>
      <c r="F386" s="1">
        <v>137.0</v>
      </c>
      <c r="G386" s="1">
        <v>147.0</v>
      </c>
      <c r="H386" s="1">
        <v>261.0</v>
      </c>
    </row>
    <row r="387">
      <c r="A387" s="1" t="str">
        <f t="shared" si="1"/>
        <v>177261</v>
      </c>
      <c r="B387" s="1">
        <v>177.0</v>
      </c>
      <c r="C387" s="1" t="s">
        <v>448</v>
      </c>
      <c r="D387" s="1">
        <v>3.0</v>
      </c>
      <c r="E387" s="11">
        <v>0.42569444444444443</v>
      </c>
      <c r="F387" s="1"/>
      <c r="G387" s="1"/>
      <c r="H387" s="1">
        <v>261.0</v>
      </c>
    </row>
    <row r="388">
      <c r="A388" s="1" t="str">
        <f t="shared" si="1"/>
        <v>178261</v>
      </c>
      <c r="B388" s="1">
        <v>178.0</v>
      </c>
      <c r="C388" s="1" t="s">
        <v>445</v>
      </c>
      <c r="D388" s="1">
        <v>3.0</v>
      </c>
      <c r="E388" s="11">
        <v>0.42569444444444443</v>
      </c>
      <c r="F388" s="1">
        <v>143.0</v>
      </c>
      <c r="G388" s="1">
        <v>251.0</v>
      </c>
      <c r="H388" s="1">
        <v>261.0</v>
      </c>
    </row>
    <row r="389">
      <c r="A389" s="1" t="str">
        <f t="shared" si="1"/>
        <v>179261</v>
      </c>
      <c r="B389" s="1">
        <v>179.0</v>
      </c>
      <c r="C389" s="1" t="s">
        <v>447</v>
      </c>
      <c r="D389" s="1">
        <v>3.0</v>
      </c>
      <c r="E389" s="11">
        <v>0.44305555555555554</v>
      </c>
      <c r="F389" s="1">
        <v>52.0</v>
      </c>
      <c r="G389" s="1">
        <v>130.0</v>
      </c>
      <c r="H389" s="1">
        <v>261.0</v>
      </c>
    </row>
    <row r="390">
      <c r="A390" s="1" t="str">
        <f t="shared" si="1"/>
        <v>180261</v>
      </c>
      <c r="B390" s="1">
        <v>180.0</v>
      </c>
      <c r="C390" s="1" t="s">
        <v>445</v>
      </c>
      <c r="D390" s="1">
        <v>3.0</v>
      </c>
      <c r="E390" s="11">
        <v>0.4444444444444444</v>
      </c>
      <c r="F390" s="1">
        <v>143.0</v>
      </c>
      <c r="G390" s="1">
        <v>94.0</v>
      </c>
      <c r="H390" s="1">
        <v>261.0</v>
      </c>
    </row>
    <row r="391">
      <c r="A391" s="1" t="str">
        <f t="shared" si="1"/>
        <v>181261</v>
      </c>
      <c r="B391" s="1">
        <v>181.0</v>
      </c>
      <c r="C391" s="1" t="s">
        <v>447</v>
      </c>
      <c r="D391" s="1">
        <v>3.0</v>
      </c>
      <c r="E391" s="11">
        <v>0.45625</v>
      </c>
      <c r="F391" s="1">
        <v>93.0</v>
      </c>
      <c r="G391" s="1">
        <v>126.0</v>
      </c>
      <c r="H391" s="1">
        <v>261.0</v>
      </c>
    </row>
    <row r="392">
      <c r="A392" s="1" t="str">
        <f t="shared" si="1"/>
        <v>182261</v>
      </c>
      <c r="B392" s="1">
        <v>182.0</v>
      </c>
      <c r="C392" s="1" t="s">
        <v>449</v>
      </c>
      <c r="D392" s="1">
        <v>3.0</v>
      </c>
      <c r="E392" s="11">
        <v>0.5354166666666667</v>
      </c>
      <c r="F392" s="1">
        <v>377.0</v>
      </c>
      <c r="G392" s="1">
        <v>290.0</v>
      </c>
      <c r="H392" s="1">
        <v>261.0</v>
      </c>
    </row>
    <row r="393">
      <c r="A393" s="1" t="str">
        <f t="shared" si="1"/>
        <v>183261</v>
      </c>
      <c r="B393" s="1">
        <v>183.0</v>
      </c>
      <c r="C393" s="1" t="s">
        <v>445</v>
      </c>
      <c r="D393" s="1">
        <v>3.0</v>
      </c>
      <c r="E393" s="11">
        <v>0.5486111111111112</v>
      </c>
      <c r="F393" s="1">
        <v>300.0</v>
      </c>
      <c r="G393" s="1">
        <v>150.0</v>
      </c>
      <c r="H393" s="1">
        <v>261.0</v>
      </c>
    </row>
    <row r="394">
      <c r="A394" s="1" t="str">
        <f t="shared" si="1"/>
        <v>184261</v>
      </c>
      <c r="B394" s="1">
        <v>184.0</v>
      </c>
      <c r="C394" s="1" t="s">
        <v>447</v>
      </c>
      <c r="D394" s="1">
        <v>3.0</v>
      </c>
      <c r="E394" s="11">
        <v>0.5506944444444445</v>
      </c>
      <c r="F394" s="1">
        <v>333.0</v>
      </c>
      <c r="G394" s="1">
        <v>39.0</v>
      </c>
      <c r="H394" s="1">
        <v>261.0</v>
      </c>
    </row>
    <row r="395">
      <c r="A395" s="1" t="str">
        <f t="shared" si="1"/>
        <v>185261</v>
      </c>
      <c r="B395" s="1">
        <v>185.0</v>
      </c>
      <c r="C395" s="1" t="s">
        <v>445</v>
      </c>
      <c r="D395" s="1">
        <v>3.0</v>
      </c>
      <c r="E395" s="11">
        <v>0.5520833333333334</v>
      </c>
      <c r="F395" s="1">
        <v>500.0</v>
      </c>
      <c r="G395" s="1">
        <v>94.0</v>
      </c>
      <c r="H395" s="1">
        <v>261.0</v>
      </c>
    </row>
    <row r="396">
      <c r="A396" s="1" t="str">
        <f t="shared" si="1"/>
        <v>186261</v>
      </c>
      <c r="B396" s="1">
        <v>186.0</v>
      </c>
      <c r="C396" s="1" t="s">
        <v>446</v>
      </c>
      <c r="D396" s="1">
        <v>3.0</v>
      </c>
      <c r="E396" s="11">
        <v>0.5576388888888889</v>
      </c>
      <c r="F396" s="1">
        <v>438.0</v>
      </c>
      <c r="G396" s="1">
        <v>224.0</v>
      </c>
      <c r="H396" s="1">
        <v>261.0</v>
      </c>
    </row>
    <row r="397">
      <c r="A397" s="1" t="str">
        <f t="shared" si="1"/>
        <v>187261</v>
      </c>
      <c r="B397" s="1">
        <v>187.0</v>
      </c>
      <c r="C397" s="1" t="s">
        <v>446</v>
      </c>
      <c r="D397" s="1">
        <v>3.0</v>
      </c>
      <c r="E397" s="11">
        <v>0.5638888888888889</v>
      </c>
      <c r="F397" s="1">
        <v>401.0</v>
      </c>
      <c r="G397" s="1">
        <v>228.0</v>
      </c>
      <c r="H397" s="1">
        <v>261.0</v>
      </c>
    </row>
    <row r="398">
      <c r="A398" s="1" t="str">
        <f t="shared" si="1"/>
        <v>188261</v>
      </c>
      <c r="B398" s="1">
        <v>188.0</v>
      </c>
      <c r="C398" s="1" t="s">
        <v>447</v>
      </c>
      <c r="D398" s="1">
        <v>3.0</v>
      </c>
      <c r="E398" s="11">
        <v>0.5715277777777777</v>
      </c>
      <c r="F398" s="1">
        <v>135.0</v>
      </c>
      <c r="G398" s="1">
        <v>151.0</v>
      </c>
      <c r="H398" s="1">
        <v>261.0</v>
      </c>
    </row>
    <row r="399">
      <c r="A399" s="1" t="str">
        <f t="shared" si="1"/>
        <v>189261</v>
      </c>
      <c r="B399" s="1">
        <v>189.0</v>
      </c>
      <c r="C399" s="1" t="s">
        <v>446</v>
      </c>
      <c r="D399" s="1">
        <v>3.0</v>
      </c>
      <c r="E399" s="11">
        <v>0.5770833333333333</v>
      </c>
      <c r="F399" s="1">
        <v>187.0</v>
      </c>
      <c r="G399" s="1">
        <v>178.0</v>
      </c>
      <c r="H399" s="1">
        <v>261.0</v>
      </c>
    </row>
    <row r="400">
      <c r="A400" s="1" t="str">
        <f t="shared" si="1"/>
        <v>190261</v>
      </c>
      <c r="B400" s="1">
        <v>190.0</v>
      </c>
      <c r="C400" s="1" t="s">
        <v>449</v>
      </c>
      <c r="D400" s="1">
        <v>3.0</v>
      </c>
      <c r="E400" s="11">
        <v>0.5881944444444445</v>
      </c>
      <c r="F400" s="1">
        <v>591.0</v>
      </c>
      <c r="G400" s="1">
        <v>67.0</v>
      </c>
      <c r="H400" s="1">
        <v>261.0</v>
      </c>
    </row>
    <row r="401">
      <c r="A401" s="1" t="str">
        <f t="shared" si="1"/>
        <v>191261</v>
      </c>
      <c r="B401" s="1">
        <v>191.0</v>
      </c>
      <c r="C401" s="1" t="s">
        <v>445</v>
      </c>
      <c r="D401" s="1">
        <v>3.0</v>
      </c>
      <c r="E401" s="11">
        <v>0.6</v>
      </c>
      <c r="F401" s="1">
        <v>500.0</v>
      </c>
      <c r="G401" s="1">
        <v>94.0</v>
      </c>
      <c r="H401" s="1">
        <v>261.0</v>
      </c>
    </row>
    <row r="402">
      <c r="A402" s="1" t="str">
        <f t="shared" si="1"/>
        <v>192261</v>
      </c>
      <c r="B402" s="1">
        <v>192.0</v>
      </c>
      <c r="C402" s="1" t="s">
        <v>447</v>
      </c>
      <c r="D402" s="1">
        <v>3.0</v>
      </c>
      <c r="E402" s="11">
        <v>0.6020833333333333</v>
      </c>
      <c r="F402" s="1">
        <v>390.0</v>
      </c>
      <c r="G402" s="1">
        <v>56.0</v>
      </c>
      <c r="H402" s="1">
        <v>261.0</v>
      </c>
    </row>
    <row r="403">
      <c r="A403" s="1" t="str">
        <f t="shared" si="1"/>
        <v>193261</v>
      </c>
      <c r="B403" s="1">
        <v>193.0</v>
      </c>
      <c r="C403" s="1" t="s">
        <v>445</v>
      </c>
      <c r="D403" s="1">
        <v>3.0</v>
      </c>
      <c r="E403" s="11">
        <v>0.6027777777777777</v>
      </c>
      <c r="F403" s="1">
        <v>500.0</v>
      </c>
      <c r="G403" s="1">
        <v>94.0</v>
      </c>
      <c r="H403" s="1">
        <v>261.0</v>
      </c>
    </row>
    <row r="404">
      <c r="A404" s="1" t="str">
        <f t="shared" si="1"/>
        <v>194261</v>
      </c>
      <c r="B404" s="1">
        <v>194.0</v>
      </c>
      <c r="C404" s="1" t="s">
        <v>445</v>
      </c>
      <c r="D404" s="1">
        <v>3.0</v>
      </c>
      <c r="E404" s="11">
        <v>0.6159722222222223</v>
      </c>
      <c r="F404" s="1">
        <v>143.0</v>
      </c>
      <c r="G404" s="1">
        <v>251.0</v>
      </c>
      <c r="H404" s="1">
        <v>261.0</v>
      </c>
    </row>
    <row r="405">
      <c r="A405" s="1" t="str">
        <f t="shared" si="1"/>
        <v>195261</v>
      </c>
      <c r="B405" s="1">
        <v>195.0</v>
      </c>
      <c r="C405" s="1" t="s">
        <v>446</v>
      </c>
      <c r="D405" s="1">
        <v>3.0</v>
      </c>
      <c r="E405" s="11">
        <v>0.61875</v>
      </c>
      <c r="F405" s="1">
        <v>196.0</v>
      </c>
      <c r="G405" s="1">
        <v>250.0</v>
      </c>
      <c r="H405" s="1">
        <v>261.0</v>
      </c>
    </row>
    <row r="406">
      <c r="A406" s="1" t="str">
        <f t="shared" si="1"/>
        <v>196261</v>
      </c>
      <c r="B406" s="1">
        <v>196.0</v>
      </c>
      <c r="C406" s="1" t="s">
        <v>447</v>
      </c>
      <c r="D406" s="1">
        <v>3.0</v>
      </c>
      <c r="E406" s="11">
        <v>0.6409722222222223</v>
      </c>
      <c r="F406" s="1">
        <v>52.0</v>
      </c>
      <c r="G406" s="1">
        <v>116.0</v>
      </c>
      <c r="H406" s="1">
        <v>261.0</v>
      </c>
    </row>
    <row r="407">
      <c r="A407" s="1" t="str">
        <f t="shared" si="1"/>
        <v>197261</v>
      </c>
      <c r="B407" s="1">
        <v>197.0</v>
      </c>
      <c r="C407" s="1" t="s">
        <v>445</v>
      </c>
      <c r="D407" s="1">
        <v>3.0</v>
      </c>
      <c r="E407" s="11">
        <v>0.6798611111111111</v>
      </c>
      <c r="F407" s="1">
        <v>143.0</v>
      </c>
      <c r="G407" s="1">
        <v>251.0</v>
      </c>
      <c r="H407" s="1">
        <v>261.0</v>
      </c>
    </row>
    <row r="408">
      <c r="A408" s="1" t="str">
        <f t="shared" si="1"/>
        <v>198261</v>
      </c>
      <c r="B408" s="1">
        <v>198.0</v>
      </c>
      <c r="C408" s="1" t="s">
        <v>447</v>
      </c>
      <c r="D408" s="1">
        <v>3.0</v>
      </c>
      <c r="E408" s="11">
        <v>0.7208333333333333</v>
      </c>
      <c r="F408" s="1">
        <v>516.0</v>
      </c>
      <c r="G408" s="1">
        <v>153.0</v>
      </c>
      <c r="H408" s="1">
        <v>261.0</v>
      </c>
    </row>
    <row r="409">
      <c r="A409" s="1" t="str">
        <f t="shared" si="1"/>
        <v>199261</v>
      </c>
      <c r="B409" s="1">
        <v>199.0</v>
      </c>
      <c r="C409" s="1" t="s">
        <v>445</v>
      </c>
      <c r="D409" s="1">
        <v>3.0</v>
      </c>
      <c r="E409" s="11">
        <v>0.7208333333333333</v>
      </c>
      <c r="F409" s="1">
        <v>500.0</v>
      </c>
      <c r="G409" s="1">
        <v>251.0</v>
      </c>
      <c r="H409" s="1">
        <v>261.0</v>
      </c>
    </row>
    <row r="410">
      <c r="A410" s="1" t="str">
        <f t="shared" si="1"/>
        <v>200261</v>
      </c>
      <c r="B410" s="1">
        <v>200.0</v>
      </c>
      <c r="C410" s="1" t="s">
        <v>447</v>
      </c>
      <c r="D410" s="1">
        <v>3.0</v>
      </c>
      <c r="E410" s="11">
        <v>0.7291666666666666</v>
      </c>
      <c r="F410" s="1">
        <v>400.0</v>
      </c>
      <c r="G410" s="1">
        <v>89.0</v>
      </c>
      <c r="H410" s="1">
        <v>261.0</v>
      </c>
    </row>
    <row r="411">
      <c r="A411" s="1" t="str">
        <f t="shared" si="1"/>
        <v>201261</v>
      </c>
      <c r="B411" s="1">
        <v>201.0</v>
      </c>
      <c r="C411" s="1" t="s">
        <v>446</v>
      </c>
      <c r="D411" s="1">
        <v>3.0</v>
      </c>
      <c r="E411" s="11">
        <v>0.7388888888888889</v>
      </c>
      <c r="F411" s="1">
        <v>422.0</v>
      </c>
      <c r="G411" s="1">
        <v>104.0</v>
      </c>
      <c r="H411" s="1">
        <v>261.0</v>
      </c>
    </row>
    <row r="412">
      <c r="A412" s="1" t="str">
        <f t="shared" si="1"/>
        <v>202261</v>
      </c>
      <c r="B412" s="1">
        <v>202.0</v>
      </c>
      <c r="C412" s="1" t="s">
        <v>446</v>
      </c>
      <c r="D412" s="1">
        <v>3.0</v>
      </c>
      <c r="E412" s="11">
        <v>0.7479166666666667</v>
      </c>
      <c r="F412" s="1">
        <v>124.0</v>
      </c>
      <c r="G412" s="1">
        <v>79.0</v>
      </c>
      <c r="H412" s="1">
        <v>261.0</v>
      </c>
    </row>
    <row r="413">
      <c r="A413" s="1" t="str">
        <f t="shared" si="1"/>
        <v>203261</v>
      </c>
      <c r="B413" s="1">
        <v>203.0</v>
      </c>
      <c r="C413" s="1" t="s">
        <v>447</v>
      </c>
      <c r="D413" s="1">
        <v>3.0</v>
      </c>
      <c r="E413" s="11">
        <v>0.7597222222222222</v>
      </c>
      <c r="F413" s="1">
        <v>99.0</v>
      </c>
      <c r="G413" s="1">
        <v>147.0</v>
      </c>
      <c r="H413" s="1">
        <v>261.0</v>
      </c>
    </row>
    <row r="414">
      <c r="A414" s="1" t="str">
        <f t="shared" si="1"/>
        <v>204261</v>
      </c>
      <c r="B414" s="1">
        <v>204.0</v>
      </c>
      <c r="C414" s="1" t="s">
        <v>450</v>
      </c>
      <c r="D414" s="1">
        <v>3.0</v>
      </c>
      <c r="E414" s="11">
        <v>0.7597222222222222</v>
      </c>
      <c r="F414" s="1">
        <v>99.0</v>
      </c>
      <c r="G414" s="1">
        <v>147.0</v>
      </c>
      <c r="H414" s="1">
        <v>261.0</v>
      </c>
    </row>
    <row r="415">
      <c r="A415" s="1" t="str">
        <f t="shared" si="1"/>
        <v>205261</v>
      </c>
      <c r="B415" s="1">
        <v>205.0</v>
      </c>
      <c r="C415" s="1" t="s">
        <v>445</v>
      </c>
      <c r="D415" s="1">
        <v>3.0</v>
      </c>
      <c r="E415" s="11">
        <v>0.7597222222222222</v>
      </c>
      <c r="F415" s="1">
        <v>300.0</v>
      </c>
      <c r="G415" s="1">
        <v>150.0</v>
      </c>
      <c r="H415" s="1">
        <v>261.0</v>
      </c>
    </row>
    <row r="416">
      <c r="A416" s="1" t="str">
        <f t="shared" si="1"/>
        <v>206261</v>
      </c>
      <c r="B416" s="1">
        <v>206.0</v>
      </c>
      <c r="C416" s="1" t="s">
        <v>446</v>
      </c>
      <c r="D416" s="1">
        <v>3.0</v>
      </c>
      <c r="E416" s="11">
        <v>0.7736111111111111</v>
      </c>
      <c r="F416" s="1">
        <v>516.0</v>
      </c>
      <c r="G416" s="1">
        <v>245.0</v>
      </c>
      <c r="H416" s="1">
        <v>261.0</v>
      </c>
    </row>
    <row r="417">
      <c r="A417" s="1" t="str">
        <f t="shared" si="1"/>
        <v>207261</v>
      </c>
      <c r="B417" s="1">
        <v>207.0</v>
      </c>
      <c r="C417" s="1" t="s">
        <v>448</v>
      </c>
      <c r="D417" s="1">
        <v>3.0</v>
      </c>
      <c r="E417" s="11">
        <v>0.7743055555555556</v>
      </c>
      <c r="F417" s="1"/>
      <c r="G417" s="1"/>
      <c r="H417" s="1">
        <v>261.0</v>
      </c>
    </row>
    <row r="418">
      <c r="A418" s="1" t="str">
        <f t="shared" si="1"/>
        <v>208261</v>
      </c>
      <c r="B418" s="1">
        <v>208.0</v>
      </c>
      <c r="C418" s="1" t="s">
        <v>445</v>
      </c>
      <c r="D418" s="1">
        <v>3.0</v>
      </c>
      <c r="E418" s="11">
        <v>0.7743055555555556</v>
      </c>
      <c r="F418" s="1">
        <v>143.0</v>
      </c>
      <c r="G418" s="1">
        <v>251.0</v>
      </c>
      <c r="H418" s="1">
        <v>261.0</v>
      </c>
    </row>
    <row r="419">
      <c r="A419" s="1" t="str">
        <f t="shared" si="1"/>
        <v>209261</v>
      </c>
      <c r="B419" s="1">
        <v>209.0</v>
      </c>
      <c r="C419" s="1" t="s">
        <v>449</v>
      </c>
      <c r="D419" s="1">
        <v>3.0</v>
      </c>
      <c r="E419" s="11">
        <v>0.7881944444444444</v>
      </c>
      <c r="F419" s="1">
        <v>232.0</v>
      </c>
      <c r="G419" s="1">
        <v>285.0</v>
      </c>
      <c r="H419" s="1">
        <v>261.0</v>
      </c>
    </row>
    <row r="420">
      <c r="A420" s="1" t="str">
        <f t="shared" si="1"/>
        <v>210261</v>
      </c>
      <c r="B420" s="1">
        <v>210.0</v>
      </c>
      <c r="C420" s="1" t="s">
        <v>447</v>
      </c>
      <c r="D420" s="1">
        <v>3.0</v>
      </c>
      <c r="E420" s="11">
        <v>0.8326388888888889</v>
      </c>
      <c r="F420" s="1">
        <v>363.0</v>
      </c>
      <c r="G420" s="1">
        <v>97.0</v>
      </c>
      <c r="H420" s="1">
        <v>261.0</v>
      </c>
    </row>
  </sheetData>
  <drawing r:id="rId1"/>
</worksheet>
</file>